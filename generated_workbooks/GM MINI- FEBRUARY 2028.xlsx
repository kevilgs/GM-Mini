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LINK" sheetId="2" state="visible" r:id="rId2"/>
    <sheet xmlns:r="http://schemas.openxmlformats.org/officeDocument/2006/relationships" name="Sheet6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2" sheetId="5" state="visible" r:id="rId5"/>
    <sheet xmlns:r="http://schemas.openxmlformats.org/officeDocument/2006/relationships" name="3" sheetId="6" state="visible" r:id="rId6"/>
    <sheet xmlns:r="http://schemas.openxmlformats.org/officeDocument/2006/relationships" name="4" sheetId="7" state="visible" r:id="rId7"/>
    <sheet xmlns:r="http://schemas.openxmlformats.org/officeDocument/2006/relationships" name="5" sheetId="8" state="visible" r:id="rId8"/>
    <sheet xmlns:r="http://schemas.openxmlformats.org/officeDocument/2006/relationships" name="6" sheetId="9" state="visible" r:id="rId9"/>
    <sheet xmlns:r="http://schemas.openxmlformats.org/officeDocument/2006/relationships" name="7" sheetId="10" state="visible" r:id="rId10"/>
    <sheet xmlns:r="http://schemas.openxmlformats.org/officeDocument/2006/relationships" name="8" sheetId="11" state="visible" r:id="rId11"/>
    <sheet xmlns:r="http://schemas.openxmlformats.org/officeDocument/2006/relationships" name="9" sheetId="12" state="visible" r:id="rId12"/>
    <sheet xmlns:r="http://schemas.openxmlformats.org/officeDocument/2006/relationships" name="10" sheetId="13" state="visible" r:id="rId13"/>
    <sheet xmlns:r="http://schemas.openxmlformats.org/officeDocument/2006/relationships" name="11" sheetId="14" state="visible" r:id="rId14"/>
    <sheet xmlns:r="http://schemas.openxmlformats.org/officeDocument/2006/relationships" name="12" sheetId="15" state="visible" r:id="rId15"/>
    <sheet xmlns:r="http://schemas.openxmlformats.org/officeDocument/2006/relationships" name="13" sheetId="16" state="visible" r:id="rId16"/>
    <sheet xmlns:r="http://schemas.openxmlformats.org/officeDocument/2006/relationships" name="14" sheetId="17" state="visible" r:id="rId17"/>
    <sheet xmlns:r="http://schemas.openxmlformats.org/officeDocument/2006/relationships" name="15" sheetId="18" state="visible" r:id="rId18"/>
    <sheet xmlns:r="http://schemas.openxmlformats.org/officeDocument/2006/relationships" name="16" sheetId="19" state="visible" r:id="rId19"/>
    <sheet xmlns:r="http://schemas.openxmlformats.org/officeDocument/2006/relationships" name="17" sheetId="20" state="visible" r:id="rId20"/>
    <sheet xmlns:r="http://schemas.openxmlformats.org/officeDocument/2006/relationships" name="18" sheetId="21" state="visible" r:id="rId21"/>
    <sheet xmlns:r="http://schemas.openxmlformats.org/officeDocument/2006/relationships" name="19" sheetId="22" state="visible" r:id="rId22"/>
    <sheet xmlns:r="http://schemas.openxmlformats.org/officeDocument/2006/relationships" name="20" sheetId="23" state="visible" r:id="rId23"/>
    <sheet xmlns:r="http://schemas.openxmlformats.org/officeDocument/2006/relationships" name="21" sheetId="24" state="visible" r:id="rId24"/>
    <sheet xmlns:r="http://schemas.openxmlformats.org/officeDocument/2006/relationships" name="22" sheetId="25" state="visible" r:id="rId25"/>
    <sheet xmlns:r="http://schemas.openxmlformats.org/officeDocument/2006/relationships" name="23" sheetId="26" state="visible" r:id="rId26"/>
    <sheet xmlns:r="http://schemas.openxmlformats.org/officeDocument/2006/relationships" name="24" sheetId="27" state="visible" r:id="rId27"/>
    <sheet xmlns:r="http://schemas.openxmlformats.org/officeDocument/2006/relationships" name="25" sheetId="28" state="visible" r:id="rId28"/>
    <sheet xmlns:r="http://schemas.openxmlformats.org/officeDocument/2006/relationships" name="26" sheetId="29" state="visible" r:id="rId29"/>
    <sheet xmlns:r="http://schemas.openxmlformats.org/officeDocument/2006/relationships" name="27" sheetId="30" state="visible" r:id="rId30"/>
    <sheet xmlns:r="http://schemas.openxmlformats.org/officeDocument/2006/relationships" name="28" sheetId="31" state="visible" r:id="rId31"/>
    <sheet xmlns:r="http://schemas.openxmlformats.org/officeDocument/2006/relationships" name="29" sheetId="32" state="visible" r:id="rId32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14009]dd/mm/yy;@"/>
  </numFmts>
  <fonts count="79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sz val="12"/>
    </font>
    <font>
      <name val="Arial"/>
      <family val="2"/>
      <sz val="10"/>
    </font>
    <font>
      <name val="Calibri Light"/>
      <family val="2"/>
      <b val="1"/>
      <color theme="3"/>
      <sz val="18"/>
      <scheme val="major"/>
    </font>
    <font>
      <name val="Times New Roman"/>
      <family val="2"/>
      <color indexed="8"/>
      <sz val="12"/>
    </font>
    <font>
      <name val="Times New Roman"/>
      <family val="2"/>
      <color indexed="9"/>
      <sz val="12"/>
    </font>
    <font>
      <name val="Times New Roman"/>
      <family val="2"/>
      <color indexed="20"/>
      <sz val="12"/>
    </font>
    <font>
      <name val="Times New Roman"/>
      <family val="2"/>
      <b val="1"/>
      <color indexed="52"/>
      <sz val="12"/>
    </font>
    <font>
      <name val="Times New Roman"/>
      <family val="2"/>
      <b val="1"/>
      <color indexed="9"/>
      <sz val="12"/>
    </font>
    <font>
      <name val="Times New Roman"/>
      <family val="2"/>
      <i val="1"/>
      <color indexed="23"/>
      <sz val="12"/>
    </font>
    <font>
      <name val="Times New Roman"/>
      <family val="2"/>
      <color indexed="17"/>
      <sz val="12"/>
    </font>
    <font>
      <name val="Times New Roman"/>
      <family val="2"/>
      <b val="1"/>
      <color indexed="56"/>
      <sz val="15"/>
    </font>
    <font>
      <name val="Times New Roman"/>
      <family val="2"/>
      <b val="1"/>
      <color indexed="56"/>
      <sz val="13"/>
    </font>
    <font>
      <name val="Times New Roman"/>
      <family val="2"/>
      <b val="1"/>
      <color indexed="56"/>
      <sz val="11"/>
    </font>
    <font>
      <name val="Times New Roman"/>
      <family val="2"/>
      <color indexed="62"/>
      <sz val="12"/>
    </font>
    <font>
      <name val="Times New Roman"/>
      <family val="2"/>
      <color indexed="52"/>
      <sz val="12"/>
    </font>
    <font>
      <name val="Times New Roman"/>
      <family val="2"/>
      <color indexed="60"/>
      <sz val="12"/>
    </font>
    <font>
      <name val="Times New Roman"/>
      <family val="2"/>
      <b val="1"/>
      <color indexed="63"/>
      <sz val="12"/>
    </font>
    <font>
      <name val="Cambria"/>
      <family val="2"/>
      <b val="1"/>
      <color indexed="56"/>
      <sz val="18"/>
    </font>
    <font>
      <name val="Times New Roman"/>
      <family val="2"/>
      <b val="1"/>
      <color indexed="8"/>
      <sz val="12"/>
    </font>
    <font>
      <name val="Times New Roman"/>
      <family val="2"/>
      <color indexed="10"/>
      <sz val="12"/>
    </font>
    <font>
      <name val="Calibri"/>
      <family val="2"/>
      <color indexed="8"/>
      <sz val="11"/>
    </font>
    <font>
      <name val="Times New Roman"/>
      <family val="2"/>
      <color theme="1"/>
      <sz val="12"/>
    </font>
    <font>
      <name val="Times New Roman"/>
      <family val="2"/>
      <color theme="0"/>
      <sz val="12"/>
    </font>
    <font>
      <name val="Times New Roman"/>
      <family val="2"/>
      <color rgb="FF9C0006"/>
      <sz val="12"/>
    </font>
    <font>
      <name val="Times New Roman"/>
      <family val="2"/>
      <b val="1"/>
      <color rgb="FFFA7D00"/>
      <sz val="12"/>
    </font>
    <font>
      <name val="Times New Roman"/>
      <family val="2"/>
      <b val="1"/>
      <color theme="0"/>
      <sz val="12"/>
    </font>
    <font>
      <name val="Times New Roman"/>
      <family val="2"/>
      <i val="1"/>
      <color rgb="FF7F7F7F"/>
      <sz val="12"/>
    </font>
    <font>
      <name val="Times New Roman"/>
      <family val="2"/>
      <color rgb="FF006100"/>
      <sz val="12"/>
    </font>
    <font>
      <name val="Times New Roman"/>
      <family val="2"/>
      <b val="1"/>
      <color theme="3"/>
      <sz val="15"/>
    </font>
    <font>
      <name val="Times New Roman"/>
      <family val="2"/>
      <b val="1"/>
      <color theme="3"/>
      <sz val="13"/>
    </font>
    <font>
      <name val="Times New Roman"/>
      <family val="2"/>
      <b val="1"/>
      <color theme="3"/>
      <sz val="11"/>
    </font>
    <font>
      <name val="Times New Roman"/>
      <family val="2"/>
      <color rgb="FF3F3F76"/>
      <sz val="12"/>
    </font>
    <font>
      <name val="Times New Roman"/>
      <family val="2"/>
      <color rgb="FFFA7D00"/>
      <sz val="12"/>
    </font>
    <font>
      <name val="Times New Roman"/>
      <family val="2"/>
      <color rgb="FF9C6500"/>
      <sz val="12"/>
    </font>
    <font>
      <name val="Times New Roman"/>
      <family val="2"/>
      <b val="1"/>
      <color rgb="FF3F3F3F"/>
      <sz val="12"/>
    </font>
    <font>
      <name val="Times New Roman"/>
      <family val="2"/>
      <b val="1"/>
      <color theme="1"/>
      <sz val="12"/>
    </font>
    <font>
      <name val="Times New Roman"/>
      <family val="2"/>
      <color rgb="FFFF0000"/>
      <sz val="12"/>
    </font>
    <font>
      <name val="Calibri"/>
      <family val="2"/>
      <sz val="11"/>
    </font>
    <font>
      <name val="Calibri"/>
      <family val="2"/>
      <b val="1"/>
      <color rgb="FFFF0000"/>
      <sz val="12"/>
      <scheme val="minor"/>
    </font>
    <font>
      <name val="Times New Roman"/>
      <family val="1"/>
      <b val="1"/>
      <color rgb="FFFF0000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indexed="8"/>
      <sz val="14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indexed="8"/>
      <sz val="16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color theme="1"/>
      <sz val="16"/>
      <scheme val="minor"/>
    </font>
    <font>
      <name val="Calibri"/>
      <family val="2"/>
      <color rgb="FFFF0000"/>
      <sz val="16"/>
      <scheme val="minor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Calibri"/>
      <family val="2"/>
      <b val="1"/>
      <color theme="1"/>
      <sz val="20"/>
      <scheme val="minor"/>
    </font>
    <font>
      <name val="Calibri"/>
      <family val="2"/>
      <b val="1"/>
      <color indexed="8"/>
      <sz val="18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rgb="FFFF0000"/>
      <sz val="15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b val="1"/>
      <sz val="11"/>
    </font>
  </fonts>
  <fills count="5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7100"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33" borderId="0"/>
    <xf numFmtId="0" fontId="42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24" fillId="33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24" fillId="33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24" fillId="34" borderId="0"/>
    <xf numFmtId="0" fontId="42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24" fillId="3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24" fillId="3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24" fillId="35" borderId="0"/>
    <xf numFmtId="0" fontId="42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24" fillId="35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24" fillId="35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24" fillId="36" borderId="0"/>
    <xf numFmtId="0" fontId="42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24" fillId="36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24" fillId="36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24" fillId="37" borderId="0"/>
    <xf numFmtId="0" fontId="42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24" fillId="37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24" fillId="37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24" fillId="38" borderId="0"/>
    <xf numFmtId="0" fontId="42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24" fillId="38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24" fillId="38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24" fillId="39" borderId="0"/>
    <xf numFmtId="0" fontId="42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24" fillId="39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24" fillId="39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24" fillId="40" borderId="0"/>
    <xf numFmtId="0" fontId="42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24" fillId="40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24" fillId="40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24" fillId="41" borderId="0"/>
    <xf numFmtId="0" fontId="42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24" fillId="41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24" fillId="41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24" fillId="36" borderId="0"/>
    <xf numFmtId="0" fontId="42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24" fillId="36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24" fillId="36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24" fillId="39" borderId="0"/>
    <xf numFmtId="0" fontId="42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24" fillId="39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24" fillId="39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24" fillId="42" borderId="0"/>
    <xf numFmtId="0" fontId="42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24" fillId="42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24" fillId="42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25" fillId="43" borderId="0"/>
    <xf numFmtId="0" fontId="43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5" fillId="43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25" fillId="43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25" fillId="40" borderId="0"/>
    <xf numFmtId="0" fontId="43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5" fillId="40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25" fillId="40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25" fillId="41" borderId="0"/>
    <xf numFmtId="0" fontId="43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5" fillId="41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25" fillId="41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25" fillId="44" borderId="0"/>
    <xf numFmtId="0" fontId="43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5" fillId="4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25" fillId="4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25" fillId="45" borderId="0"/>
    <xf numFmtId="0" fontId="43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5" fillId="45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25" fillId="45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25" fillId="46" borderId="0"/>
    <xf numFmtId="0" fontId="43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5" fillId="46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25" fillId="46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25" fillId="47" borderId="0"/>
    <xf numFmtId="0" fontId="43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5" fillId="47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25" fillId="47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25" fillId="48" borderId="0"/>
    <xf numFmtId="0" fontId="43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5" fillId="48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25" fillId="48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25" fillId="49" borderId="0"/>
    <xf numFmtId="0" fontId="43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5" fillId="49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25" fillId="49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25" fillId="44" borderId="0"/>
    <xf numFmtId="0" fontId="43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5" fillId="44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25" fillId="44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25" fillId="45" borderId="0"/>
    <xf numFmtId="0" fontId="43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5" fillId="4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25" fillId="4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25" fillId="50" borderId="0"/>
    <xf numFmtId="0" fontId="43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5" fillId="50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25" fillId="50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26" fillId="34" borderId="0"/>
    <xf numFmtId="0" fontId="44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26" fillId="34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26" fillId="34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27" fillId="51" borderId="108"/>
    <xf numFmtId="0" fontId="45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27" fillId="51" borderId="108"/>
    <xf numFmtId="0" fontId="45" fillId="6" borderId="77"/>
    <xf numFmtId="0" fontId="27" fillId="51" borderId="108"/>
    <xf numFmtId="0" fontId="45" fillId="6" borderId="77"/>
    <xf numFmtId="0" fontId="27" fillId="51" borderId="108"/>
    <xf numFmtId="0" fontId="45" fillId="6" borderId="77"/>
    <xf numFmtId="0" fontId="27" fillId="51" borderId="108"/>
    <xf numFmtId="0" fontId="27" fillId="51" borderId="108"/>
    <xf numFmtId="0" fontId="45" fillId="6" borderId="77"/>
    <xf numFmtId="0" fontId="27" fillId="51" borderId="108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27" fillId="51" borderId="108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28" fillId="52" borderId="84"/>
    <xf numFmtId="0" fontId="46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28" fillId="52" borderId="84"/>
    <xf numFmtId="0" fontId="46" fillId="7" borderId="80"/>
    <xf numFmtId="0" fontId="28" fillId="52" borderId="84"/>
    <xf numFmtId="0" fontId="46" fillId="7" borderId="80"/>
    <xf numFmtId="0" fontId="28" fillId="52" borderId="84"/>
    <xf numFmtId="0" fontId="46" fillId="7" borderId="80"/>
    <xf numFmtId="0" fontId="28" fillId="52" borderId="84"/>
    <xf numFmtId="0" fontId="28" fillId="52" borderId="84"/>
    <xf numFmtId="0" fontId="46" fillId="7" borderId="80"/>
    <xf numFmtId="0" fontId="28" fillId="52" borderId="84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28" fillId="52" borderId="84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29" fillId="0" borderId="0"/>
    <xf numFmtId="0" fontId="47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29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2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" fillId="35" borderId="0"/>
    <xf numFmtId="0" fontId="48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30" fillId="35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30" fillId="35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31" fillId="0" borderId="85"/>
    <xf numFmtId="0" fontId="49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31" fillId="0" borderId="85"/>
    <xf numFmtId="0" fontId="49" fillId="0" borderId="74"/>
    <xf numFmtId="0" fontId="31" fillId="0" borderId="85"/>
    <xf numFmtId="0" fontId="49" fillId="0" borderId="74"/>
    <xf numFmtId="0" fontId="31" fillId="0" borderId="85"/>
    <xf numFmtId="0" fontId="49" fillId="0" borderId="74"/>
    <xf numFmtId="0" fontId="31" fillId="0" borderId="85"/>
    <xf numFmtId="0" fontId="31" fillId="0" borderId="85"/>
    <xf numFmtId="0" fontId="49" fillId="0" borderId="74"/>
    <xf numFmtId="0" fontId="31" fillId="0" borderId="85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31" fillId="0" borderId="85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32" fillId="0" borderId="86"/>
    <xf numFmtId="0" fontId="50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32" fillId="0" borderId="86"/>
    <xf numFmtId="0" fontId="50" fillId="0" borderId="75"/>
    <xf numFmtId="0" fontId="32" fillId="0" borderId="86"/>
    <xf numFmtId="0" fontId="50" fillId="0" borderId="75"/>
    <xf numFmtId="0" fontId="32" fillId="0" borderId="86"/>
    <xf numFmtId="0" fontId="50" fillId="0" borderId="75"/>
    <xf numFmtId="0" fontId="32" fillId="0" borderId="86"/>
    <xf numFmtId="0" fontId="32" fillId="0" borderId="86"/>
    <xf numFmtId="0" fontId="50" fillId="0" borderId="75"/>
    <xf numFmtId="0" fontId="32" fillId="0" borderId="86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32" fillId="0" borderId="86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33" fillId="0" borderId="87"/>
    <xf numFmtId="0" fontId="51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33" fillId="0" borderId="87"/>
    <xf numFmtId="0" fontId="51" fillId="0" borderId="76"/>
    <xf numFmtId="0" fontId="33" fillId="0" borderId="87"/>
    <xf numFmtId="0" fontId="51" fillId="0" borderId="76"/>
    <xf numFmtId="0" fontId="33" fillId="0" borderId="87"/>
    <xf numFmtId="0" fontId="51" fillId="0" borderId="76"/>
    <xf numFmtId="0" fontId="33" fillId="0" borderId="87"/>
    <xf numFmtId="0" fontId="33" fillId="0" borderId="87"/>
    <xf numFmtId="0" fontId="51" fillId="0" borderId="76"/>
    <xf numFmtId="0" fontId="33" fillId="0" borderId="87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33" fillId="0" borderId="87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33" fillId="0" borderId="0"/>
    <xf numFmtId="0" fontId="51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33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3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4" fillId="38" borderId="108"/>
    <xf numFmtId="0" fontId="52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34" fillId="38" borderId="108"/>
    <xf numFmtId="0" fontId="52" fillId="5" borderId="77"/>
    <xf numFmtId="0" fontId="34" fillId="38" borderId="108"/>
    <xf numFmtId="0" fontId="52" fillId="5" borderId="77"/>
    <xf numFmtId="0" fontId="34" fillId="38" borderId="108"/>
    <xf numFmtId="0" fontId="52" fillId="5" borderId="77"/>
    <xf numFmtId="0" fontId="34" fillId="38" borderId="108"/>
    <xf numFmtId="0" fontId="34" fillId="38" borderId="108"/>
    <xf numFmtId="0" fontId="52" fillId="5" borderId="77"/>
    <xf numFmtId="0" fontId="34" fillId="38" borderId="108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34" fillId="38" borderId="108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35" fillId="0" borderId="88"/>
    <xf numFmtId="0" fontId="53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35" fillId="0" borderId="88"/>
    <xf numFmtId="0" fontId="53" fillId="0" borderId="79"/>
    <xf numFmtId="0" fontId="35" fillId="0" borderId="88"/>
    <xf numFmtId="0" fontId="53" fillId="0" borderId="79"/>
    <xf numFmtId="0" fontId="35" fillId="0" borderId="88"/>
    <xf numFmtId="0" fontId="53" fillId="0" borderId="79"/>
    <xf numFmtId="0" fontId="35" fillId="0" borderId="88"/>
    <xf numFmtId="0" fontId="35" fillId="0" borderId="88"/>
    <xf numFmtId="0" fontId="53" fillId="0" borderId="79"/>
    <xf numFmtId="0" fontId="35" fillId="0" borderId="88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35" fillId="0" borderId="88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36" fillId="53" borderId="0"/>
    <xf numFmtId="0" fontId="54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36" fillId="53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36" fillId="53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10" borderId="0"/>
    <xf numFmtId="0" fontId="22" fillId="0" borderId="0"/>
    <xf numFmtId="0" fontId="22" fillId="0" borderId="0"/>
    <xf numFmtId="0" fontId="22" fillId="0" borderId="0"/>
    <xf numFmtId="0" fontId="42" fillId="10" borderId="0"/>
    <xf numFmtId="0" fontId="22" fillId="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22" fillId="54" borderId="109"/>
    <xf numFmtId="0" fontId="24" fillId="8" borderId="81"/>
    <xf numFmtId="0" fontId="24" fillId="8" borderId="81"/>
    <xf numFmtId="0" fontId="24" fillId="8" borderId="81"/>
    <xf numFmtId="0" fontId="41" fillId="8" borderId="81"/>
    <xf numFmtId="0" fontId="41" fillId="8" borderId="81"/>
    <xf numFmtId="0" fontId="41" fillId="8" borderId="81"/>
    <xf numFmtId="0" fontId="41" fillId="8" borderId="81"/>
    <xf numFmtId="0" fontId="22" fillId="54" borderId="109"/>
    <xf numFmtId="0" fontId="22" fillId="54" borderId="109"/>
    <xf numFmtId="0" fontId="22" fillId="54" borderId="109"/>
    <xf numFmtId="0" fontId="41" fillId="8" borderId="81"/>
    <xf numFmtId="0" fontId="41" fillId="8" borderId="81"/>
    <xf numFmtId="0" fontId="41" fillId="8" borderId="81"/>
    <xf numFmtId="0" fontId="41" fillId="8" borderId="81"/>
    <xf numFmtId="0" fontId="22" fillId="54" borderId="109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37" fillId="51" borderId="110"/>
    <xf numFmtId="0" fontId="5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37" fillId="51" borderId="110"/>
    <xf numFmtId="0" fontId="55" fillId="6" borderId="78"/>
    <xf numFmtId="0" fontId="37" fillId="51" borderId="110"/>
    <xf numFmtId="0" fontId="55" fillId="6" borderId="78"/>
    <xf numFmtId="0" fontId="37" fillId="51" borderId="110"/>
    <xf numFmtId="0" fontId="55" fillId="6" borderId="78"/>
    <xf numFmtId="0" fontId="37" fillId="51" borderId="110"/>
    <xf numFmtId="0" fontId="37" fillId="51" borderId="110"/>
    <xf numFmtId="0" fontId="55" fillId="6" borderId="78"/>
    <xf numFmtId="0" fontId="37" fillId="51" borderId="110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37" fillId="51" borderId="110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38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38" fillId="0" borderId="0"/>
    <xf numFmtId="0" fontId="38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111"/>
    <xf numFmtId="0" fontId="56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39" fillId="0" borderId="111"/>
    <xf numFmtId="0" fontId="56" fillId="0" borderId="82"/>
    <xf numFmtId="0" fontId="39" fillId="0" borderId="111"/>
    <xf numFmtId="0" fontId="56" fillId="0" borderId="82"/>
    <xf numFmtId="0" fontId="39" fillId="0" borderId="111"/>
    <xf numFmtId="0" fontId="56" fillId="0" borderId="82"/>
    <xf numFmtId="0" fontId="39" fillId="0" borderId="111"/>
    <xf numFmtId="0" fontId="39" fillId="0" borderId="111"/>
    <xf numFmtId="0" fontId="56" fillId="0" borderId="82"/>
    <xf numFmtId="0" fontId="39" fillId="0" borderId="111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39" fillId="0" borderId="111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40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2" fillId="10" borderId="0"/>
    <xf numFmtId="0" fontId="7" fillId="10" borderId="0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45" fillId="6" borderId="77"/>
    <xf numFmtId="0" fontId="34" fillId="38" borderId="108"/>
    <xf numFmtId="0" fontId="16" fillId="6" borderId="77"/>
    <xf numFmtId="0" fontId="45" fillId="6" borderId="77"/>
    <xf numFmtId="0" fontId="27" fillId="51" borderId="108"/>
    <xf numFmtId="0" fontId="25" fillId="40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30" fillId="35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4" fillId="34" borderId="0"/>
    <xf numFmtId="0" fontId="20" fillId="16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24" fillId="40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33" fillId="0" borderId="0"/>
    <xf numFmtId="0" fontId="25" fillId="4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4" fillId="42" borderId="0"/>
    <xf numFmtId="0" fontId="20" fillId="24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4" fillId="35" borderId="0"/>
    <xf numFmtId="0" fontId="7" fillId="31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4" borderId="0"/>
    <xf numFmtId="0" fontId="20" fillId="24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29" fillId="0" borderId="0"/>
    <xf numFmtId="0" fontId="24" fillId="41" borderId="0"/>
    <xf numFmtId="0" fontId="12" fillId="3" borderId="0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42" fillId="19" borderId="0"/>
    <xf numFmtId="0" fontId="33" fillId="0" borderId="87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24" fillId="36" borderId="0"/>
    <xf numFmtId="0" fontId="7" fillId="19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19" borderId="0"/>
    <xf numFmtId="0" fontId="7" fillId="19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5" fillId="45" borderId="0"/>
    <xf numFmtId="0" fontId="25" fillId="41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5" fillId="43" borderId="0"/>
    <xf numFmtId="0" fontId="43" fillId="20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24" fillId="37" borderId="0"/>
    <xf numFmtId="0" fontId="50" fillId="0" borderId="75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9" fillId="0" borderId="75"/>
    <xf numFmtId="0" fontId="50" fillId="0" borderId="75"/>
    <xf numFmtId="0" fontId="43" fillId="12" borderId="0"/>
    <xf numFmtId="0" fontId="32" fillId="0" borderId="86"/>
    <xf numFmtId="0" fontId="20" fillId="12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4" fillId="36" borderId="0"/>
    <xf numFmtId="0" fontId="46" fillId="7" borderId="8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18" fillId="7" borderId="80"/>
    <xf numFmtId="0" fontId="46" fillId="7" borderId="80"/>
    <xf numFmtId="0" fontId="43" fillId="12" borderId="0"/>
    <xf numFmtId="0" fontId="28" fillId="52" borderId="84"/>
    <xf numFmtId="0" fontId="20" fillId="12" borderId="0"/>
    <xf numFmtId="0" fontId="43" fillId="12" borderId="0"/>
    <xf numFmtId="0" fontId="20" fillId="12" borderId="0"/>
    <xf numFmtId="0" fontId="20" fillId="20" borderId="0"/>
    <xf numFmtId="0" fontId="24" fillId="38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31" fillId="0" borderId="85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25" fillId="45" borderId="0"/>
    <xf numFmtId="0" fontId="24" fillId="39" borderId="0"/>
    <xf numFmtId="0" fontId="16" fillId="6" borderId="77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27" fillId="51" borderId="108"/>
    <xf numFmtId="0" fontId="43" fillId="28" borderId="0"/>
    <xf numFmtId="0" fontId="20" fillId="28" borderId="0"/>
    <xf numFmtId="0" fontId="25" fillId="40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3" fillId="28" borderId="0"/>
    <xf numFmtId="0" fontId="30" fillId="35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24" fillId="40" borderId="0"/>
    <xf numFmtId="0" fontId="43" fillId="24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4" fillId="42" borderId="0"/>
    <xf numFmtId="0" fontId="20" fillId="24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20" fillId="21" borderId="0"/>
    <xf numFmtId="0" fontId="29" fillId="0" borderId="0"/>
    <xf numFmtId="0" fontId="43" fillId="21" borderId="0"/>
    <xf numFmtId="0" fontId="25" fillId="44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4" fillId="41" borderId="0"/>
    <xf numFmtId="0" fontId="12" fillId="3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5" fillId="45" borderId="0"/>
    <xf numFmtId="0" fontId="25" fillId="41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5" fillId="43" borderId="0"/>
    <xf numFmtId="0" fontId="43" fillId="20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43" fillId="12" borderId="0"/>
    <xf numFmtId="0" fontId="28" fillId="52" borderId="84"/>
    <xf numFmtId="0" fontId="20" fillId="12" borderId="0"/>
    <xf numFmtId="0" fontId="24" fillId="36" borderId="0"/>
    <xf numFmtId="0" fontId="43" fillId="12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20" fillId="12" borderId="0"/>
    <xf numFmtId="0" fontId="20" fillId="20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5" fillId="45" borderId="0"/>
    <xf numFmtId="0" fontId="16" fillId="6" borderId="77"/>
    <xf numFmtId="0" fontId="45" fillId="6" borderId="77"/>
    <xf numFmtId="0" fontId="24" fillId="39" borderId="0"/>
    <xf numFmtId="0" fontId="16" fillId="6" borderId="77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27" fillId="51" borderId="108"/>
    <xf numFmtId="0" fontId="43" fillId="28" borderId="0"/>
    <xf numFmtId="0" fontId="20" fillId="28" borderId="0"/>
    <xf numFmtId="0" fontId="25" fillId="40" borderId="0"/>
    <xf numFmtId="0" fontId="43" fillId="28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4" fillId="42" borderId="0"/>
    <xf numFmtId="0" fontId="20" fillId="2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5" fillId="46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43" fillId="32" borderId="0"/>
    <xf numFmtId="0" fontId="25" fillId="45" borderId="0"/>
    <xf numFmtId="0" fontId="20" fillId="17" borderId="0"/>
    <xf numFmtId="0" fontId="25" fillId="41" borderId="0"/>
    <xf numFmtId="0" fontId="43" fillId="17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5" fillId="43" borderId="0"/>
    <xf numFmtId="0" fontId="20" fillId="17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5" fillId="45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5" fillId="40" borderId="0"/>
    <xf numFmtId="0" fontId="43" fillId="28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5" fillId="46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43" fillId="32" borderId="0"/>
    <xf numFmtId="0" fontId="25" fillId="45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5" fillId="41" borderId="0"/>
    <xf numFmtId="0" fontId="43" fillId="17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5" fillId="45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5" fillId="44" borderId="0"/>
    <xf numFmtId="0" fontId="20" fillId="13" borderId="0"/>
    <xf numFmtId="0" fontId="43" fillId="13" borderId="0"/>
    <xf numFmtId="0" fontId="25" fillId="46" borderId="0"/>
    <xf numFmtId="0" fontId="20" fillId="13" borderId="0"/>
    <xf numFmtId="0" fontId="43" fillId="32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5" fillId="48" borderId="0"/>
    <xf numFmtId="0" fontId="25" fillId="47" borderId="0"/>
    <xf numFmtId="0" fontId="43" fillId="9" borderId="0"/>
    <xf numFmtId="0" fontId="20" fillId="13" borderId="0"/>
    <xf numFmtId="0" fontId="43" fillId="13" borderId="0"/>
    <xf numFmtId="0" fontId="25" fillId="45" borderId="0"/>
    <xf numFmtId="0" fontId="25" fillId="46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3" borderId="0"/>
    <xf numFmtId="0" fontId="43" fillId="32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5" fillId="46" borderId="0"/>
    <xf numFmtId="0" fontId="20" fillId="13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25" fillId="48" borderId="0"/>
    <xf numFmtId="0" fontId="43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8" borderId="0"/>
    <xf numFmtId="0" fontId="20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8" borderId="0"/>
    <xf numFmtId="0" fontId="20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5" fillId="49" borderId="0"/>
    <xf numFmtId="0" fontId="43" fillId="9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5" fillId="47" borderId="0"/>
    <xf numFmtId="0" fontId="25" fillId="48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0" fillId="28" borderId="0"/>
    <xf numFmtId="0" fontId="43" fillId="28" borderId="0"/>
    <xf numFmtId="0" fontId="20" fillId="28" borderId="0"/>
    <xf numFmtId="0" fontId="25" fillId="44" borderId="0"/>
    <xf numFmtId="0" fontId="43" fillId="28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5" fillId="45" borderId="0"/>
    <xf numFmtId="0" fontId="25" fillId="48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5" fillId="44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5" fillId="45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43" fillId="17" borderId="0"/>
    <xf numFmtId="0" fontId="25" fillId="41" borderId="0"/>
    <xf numFmtId="0" fontId="20" fillId="17" borderId="0"/>
    <xf numFmtId="0" fontId="25" fillId="45" borderId="0"/>
    <xf numFmtId="0" fontId="43" fillId="32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5" fillId="46" borderId="0"/>
    <xf numFmtId="0" fontId="25" fillId="44" borderId="0"/>
    <xf numFmtId="0" fontId="26" fillId="34" borderId="0"/>
    <xf numFmtId="0" fontId="43" fillId="21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43" fillId="28" borderId="0"/>
    <xf numFmtId="0" fontId="25" fillId="40" borderId="0"/>
    <xf numFmtId="0" fontId="20" fillId="28" borderId="0"/>
    <xf numFmtId="0" fontId="43" fillId="28" borderId="0"/>
    <xf numFmtId="0" fontId="25" fillId="45" borderId="0"/>
    <xf numFmtId="0" fontId="27" fillId="51" borderId="108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5" fillId="49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20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3" fillId="20" borderId="0"/>
    <xf numFmtId="0" fontId="25" fillId="43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43" fillId="17" borderId="0"/>
    <xf numFmtId="0" fontId="25" fillId="41" borderId="0"/>
    <xf numFmtId="0" fontId="20" fillId="17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25" fillId="4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9" fillId="0" borderId="0"/>
    <xf numFmtId="0" fontId="20" fillId="24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3" fillId="24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0" fillId="24" borderId="0"/>
    <xf numFmtId="0" fontId="24" fillId="42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43" fillId="28" borderId="0"/>
    <xf numFmtId="0" fontId="25" fillId="40" borderId="0"/>
    <xf numFmtId="0" fontId="20" fillId="28" borderId="0"/>
    <xf numFmtId="0" fontId="43" fillId="28" borderId="0"/>
    <xf numFmtId="0" fontId="27" fillId="51" borderId="108"/>
    <xf numFmtId="0" fontId="30" fillId="35" borderId="0"/>
    <xf numFmtId="0" fontId="45" fillId="6" borderId="77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25" fillId="45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20" fillId="20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32" fillId="0" borderId="86"/>
    <xf numFmtId="0" fontId="25" fillId="43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5" fillId="41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12" fillId="3" borderId="0"/>
    <xf numFmtId="0" fontId="24" fillId="41" borderId="0"/>
    <xf numFmtId="0" fontId="33" fillId="0" borderId="87"/>
    <xf numFmtId="0" fontId="25" fillId="44" borderId="0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43" fillId="21" borderId="0"/>
    <xf numFmtId="0" fontId="29" fillId="0" borderId="0"/>
    <xf numFmtId="0" fontId="20" fillId="21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0" fillId="24" borderId="0"/>
    <xf numFmtId="0" fontId="24" fillId="42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33" fillId="0" borderId="0"/>
    <xf numFmtId="0" fontId="7" fillId="15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25" fillId="40" borderId="0"/>
    <xf numFmtId="0" fontId="27" fillId="51" borderId="108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31" fillId="0" borderId="85"/>
    <xf numFmtId="0" fontId="49" fillId="0" borderId="74"/>
    <xf numFmtId="0" fontId="35" fillId="0" borderId="88"/>
    <xf numFmtId="0" fontId="8" fillId="0" borderId="74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20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36" fillId="53" borderId="0"/>
    <xf numFmtId="0" fontId="42" fillId="2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25" fillId="43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41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1" fillId="0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7" fillId="0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22" fillId="54" borderId="109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24" fillId="8" borderId="81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39" fillId="0" borderId="111"/>
    <xf numFmtId="0" fontId="42" fillId="15" borderId="0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0" fillId="16" borderId="0"/>
    <xf numFmtId="0" fontId="24" fillId="34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25" fillId="40" borderId="0"/>
    <xf numFmtId="0" fontId="40" fillId="0" borderId="0"/>
    <xf numFmtId="0" fontId="27" fillId="51" borderId="108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35" fillId="0" borderId="88"/>
    <xf numFmtId="0" fontId="20" fillId="29" borderId="0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20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25" fillId="43" borderId="0"/>
    <xf numFmtId="0" fontId="20" fillId="20" borderId="0"/>
    <xf numFmtId="0" fontId="43" fillId="2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5" fillId="41" borderId="0"/>
    <xf numFmtId="0" fontId="21" fillId="0" borderId="0"/>
    <xf numFmtId="0" fontId="7" fillId="0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0" fillId="16" borderId="0"/>
    <xf numFmtId="0" fontId="24" fillId="34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25" fillId="40" borderId="0"/>
    <xf numFmtId="0" fontId="27" fillId="51" borderId="108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35" fillId="0" borderId="88"/>
    <xf numFmtId="0" fontId="20" fillId="29" borderId="0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25" fillId="43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27" fillId="51" borderId="108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25" fillId="43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24" fillId="36" borderId="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24" fillId="36" borderId="0"/>
    <xf numFmtId="0" fontId="33" fillId="0" borderId="87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24" fillId="37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24" fillId="36" borderId="0"/>
    <xf numFmtId="0" fontId="37" fillId="51" borderId="110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24" fillId="8" borderId="81"/>
    <xf numFmtId="0" fontId="37" fillId="51" borderId="110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3" fillId="0" borderId="0"/>
    <xf numFmtId="0" fontId="22" fillId="0" borderId="0"/>
    <xf numFmtId="0" fontId="42" fillId="10" borderId="0"/>
    <xf numFmtId="0" fontId="7" fillId="10" borderId="0"/>
    <xf numFmtId="0" fontId="42" fillId="14" borderId="0"/>
    <xf numFmtId="0" fontId="7" fillId="14" borderId="0"/>
    <xf numFmtId="0" fontId="42" fillId="18" borderId="0"/>
    <xf numFmtId="0" fontId="7" fillId="18" borderId="0"/>
    <xf numFmtId="0" fontId="42" fillId="22" borderId="0"/>
    <xf numFmtId="0" fontId="7" fillId="22" borderId="0"/>
    <xf numFmtId="0" fontId="42" fillId="26" borderId="0"/>
    <xf numFmtId="0" fontId="7" fillId="26" borderId="0"/>
    <xf numFmtId="0" fontId="42" fillId="30" borderId="0"/>
    <xf numFmtId="0" fontId="7" fillId="30" borderId="0"/>
    <xf numFmtId="0" fontId="42" fillId="11" borderId="0"/>
    <xf numFmtId="0" fontId="7" fillId="11" borderId="0"/>
    <xf numFmtId="0" fontId="42" fillId="15" borderId="0"/>
    <xf numFmtId="0" fontId="7" fillId="15" borderId="0"/>
    <xf numFmtId="0" fontId="42" fillId="19" borderId="0"/>
    <xf numFmtId="0" fontId="7" fillId="19" borderId="0"/>
    <xf numFmtId="0" fontId="42" fillId="23" borderId="0"/>
    <xf numFmtId="0" fontId="7" fillId="23" borderId="0"/>
    <xf numFmtId="0" fontId="42" fillId="27" borderId="0"/>
    <xf numFmtId="0" fontId="7" fillId="27" borderId="0"/>
    <xf numFmtId="0" fontId="42" fillId="31" borderId="0"/>
    <xf numFmtId="0" fontId="7" fillId="31" borderId="0"/>
    <xf numFmtId="0" fontId="43" fillId="12" borderId="0"/>
    <xf numFmtId="0" fontId="20" fillId="12" borderId="0"/>
    <xf numFmtId="0" fontId="43" fillId="16" borderId="0"/>
    <xf numFmtId="0" fontId="20" fillId="16" borderId="0"/>
    <xf numFmtId="0" fontId="43" fillId="20" borderId="0"/>
    <xf numFmtId="0" fontId="20" fillId="20" borderId="0"/>
    <xf numFmtId="0" fontId="43" fillId="24" borderId="0"/>
    <xf numFmtId="0" fontId="20" fillId="24" borderId="0"/>
    <xf numFmtId="0" fontId="43" fillId="28" borderId="0"/>
    <xf numFmtId="0" fontId="20" fillId="28" borderId="0"/>
    <xf numFmtId="0" fontId="43" fillId="32" borderId="0"/>
    <xf numFmtId="0" fontId="20" fillId="32" borderId="0"/>
    <xf numFmtId="0" fontId="43" fillId="9" borderId="0"/>
    <xf numFmtId="0" fontId="20" fillId="9" borderId="0"/>
    <xf numFmtId="0" fontId="43" fillId="13" borderId="0"/>
    <xf numFmtId="0" fontId="20" fillId="13" borderId="0"/>
    <xf numFmtId="0" fontId="43" fillId="17" borderId="0"/>
    <xf numFmtId="0" fontId="20" fillId="17" borderId="0"/>
    <xf numFmtId="0" fontId="43" fillId="21" borderId="0"/>
    <xf numFmtId="0" fontId="20" fillId="21" borderId="0"/>
    <xf numFmtId="0" fontId="43" fillId="25" borderId="0"/>
    <xf numFmtId="0" fontId="20" fillId="25" borderId="0"/>
    <xf numFmtId="0" fontId="43" fillId="29" borderId="0"/>
    <xf numFmtId="0" fontId="20" fillId="29" borderId="0"/>
    <xf numFmtId="0" fontId="44" fillId="3" borderId="0"/>
    <xf numFmtId="0" fontId="12" fillId="3" borderId="0"/>
    <xf numFmtId="0" fontId="45" fillId="6" borderId="77"/>
    <xf numFmtId="0" fontId="16" fillId="6" borderId="77"/>
    <xf numFmtId="0" fontId="46" fillId="7" borderId="80"/>
    <xf numFmtId="0" fontId="18" fillId="7" borderId="80"/>
    <xf numFmtId="0" fontId="47" fillId="0" borderId="0"/>
    <xf numFmtId="0" fontId="19" fillId="0" borderId="0"/>
    <xf numFmtId="0" fontId="48" fillId="2" borderId="0"/>
    <xf numFmtId="0" fontId="11" fillId="2" borderId="0"/>
    <xf numFmtId="0" fontId="49" fillId="0" borderId="74"/>
    <xf numFmtId="0" fontId="8" fillId="0" borderId="74"/>
    <xf numFmtId="0" fontId="50" fillId="0" borderId="75"/>
    <xf numFmtId="0" fontId="9" fillId="0" borderId="75"/>
    <xf numFmtId="0" fontId="51" fillId="0" borderId="76"/>
    <xf numFmtId="0" fontId="10" fillId="0" borderId="76"/>
    <xf numFmtId="0" fontId="51" fillId="0" borderId="0"/>
    <xf numFmtId="0" fontId="10" fillId="0" borderId="0"/>
    <xf numFmtId="0" fontId="52" fillId="5" borderId="77"/>
    <xf numFmtId="0" fontId="14" fillId="5" borderId="77"/>
    <xf numFmtId="0" fontId="53" fillId="0" borderId="79"/>
    <xf numFmtId="0" fontId="17" fillId="0" borderId="79"/>
    <xf numFmtId="0" fontId="54" fillId="4" borderId="0"/>
    <xf numFmtId="0" fontId="13" fillId="4" borderId="0"/>
    <xf numFmtId="0" fontId="7" fillId="0" borderId="0"/>
    <xf numFmtId="0" fontId="42" fillId="8" borderId="81"/>
    <xf numFmtId="0" fontId="42" fillId="8" borderId="81"/>
    <xf numFmtId="0" fontId="7" fillId="8" borderId="81"/>
    <xf numFmtId="0" fontId="7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55" fillId="6" borderId="78"/>
    <xf numFmtId="0" fontId="15" fillId="6" borderId="78"/>
    <xf numFmtId="0" fontId="56" fillId="0" borderId="82"/>
    <xf numFmtId="0" fontId="2" fillId="0" borderId="82"/>
    <xf numFmtId="0" fontId="57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2" fillId="54" borderId="109"/>
    <xf numFmtId="0" fontId="39" fillId="0" borderId="111"/>
    <xf numFmtId="0" fontId="27" fillId="51" borderId="108"/>
    <xf numFmtId="0" fontId="34" fillId="38" borderId="108"/>
    <xf numFmtId="0" fontId="22" fillId="54" borderId="109"/>
    <xf numFmtId="0" fontId="39" fillId="0" borderId="111"/>
    <xf numFmtId="0" fontId="37" fillId="51" borderId="110"/>
    <xf numFmtId="0" fontId="22" fillId="54" borderId="109"/>
    <xf numFmtId="0" fontId="27" fillId="51" borderId="108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39" fillId="0" borderId="111"/>
    <xf numFmtId="0" fontId="22" fillId="54" borderId="109"/>
    <xf numFmtId="0" fontId="37" fillId="51" borderId="110"/>
    <xf numFmtId="0" fontId="22" fillId="54" borderId="109"/>
    <xf numFmtId="0" fontId="39" fillId="0" borderId="111"/>
    <xf numFmtId="0" fontId="34" fillId="38" borderId="108"/>
    <xf numFmtId="0" fontId="34" fillId="38" borderId="108"/>
    <xf numFmtId="0" fontId="37" fillId="51" borderId="110"/>
    <xf numFmtId="0" fontId="39" fillId="0" borderId="111"/>
    <xf numFmtId="0" fontId="27" fillId="51" borderId="108"/>
    <xf numFmtId="0" fontId="27" fillId="51" borderId="108"/>
    <xf numFmtId="0" fontId="39" fillId="0" borderId="111"/>
    <xf numFmtId="0" fontId="39" fillId="0" borderId="111"/>
    <xf numFmtId="0" fontId="27" fillId="51" borderId="108"/>
    <xf numFmtId="0" fontId="39" fillId="0" borderId="111"/>
    <xf numFmtId="0" fontId="39" fillId="0" borderId="111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39" fillId="0" borderId="111"/>
    <xf numFmtId="0" fontId="22" fillId="54" borderId="109"/>
    <xf numFmtId="0" fontId="22" fillId="54" borderId="109"/>
    <xf numFmtId="0" fontId="37" fillId="51" borderId="110"/>
    <xf numFmtId="0" fontId="22" fillId="54" borderId="109"/>
    <xf numFmtId="0" fontId="27" fillId="51" borderId="108"/>
    <xf numFmtId="0" fontId="27" fillId="51" borderId="108"/>
    <xf numFmtId="0" fontId="34" fillId="38" borderId="108"/>
    <xf numFmtId="0" fontId="22" fillId="54" borderId="109"/>
    <xf numFmtId="0" fontId="34" fillId="38" borderId="108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27" fillId="51" borderId="108"/>
    <xf numFmtId="0" fontId="22" fillId="54" borderId="109"/>
    <xf numFmtId="0" fontId="34" fillId="38" borderId="108"/>
    <xf numFmtId="0" fontId="27" fillId="51" borderId="108"/>
    <xf numFmtId="0" fontId="27" fillId="51" borderId="108"/>
    <xf numFmtId="0" fontId="34" fillId="38" borderId="108"/>
    <xf numFmtId="0" fontId="39" fillId="0" borderId="111"/>
    <xf numFmtId="0" fontId="37" fillId="51" borderId="110"/>
    <xf numFmtId="0" fontId="27" fillId="51" borderId="108"/>
    <xf numFmtId="0" fontId="22" fillId="54" borderId="109"/>
    <xf numFmtId="0" fontId="27" fillId="51" borderId="108"/>
    <xf numFmtId="0" fontId="37" fillId="51" borderId="110"/>
    <xf numFmtId="0" fontId="39" fillId="0" borderId="111"/>
    <xf numFmtId="0" fontId="27" fillId="51" borderId="108"/>
    <xf numFmtId="0" fontId="39" fillId="0" borderId="111"/>
    <xf numFmtId="0" fontId="34" fillId="38" borderId="108"/>
    <xf numFmtId="0" fontId="37" fillId="51" borderId="110"/>
    <xf numFmtId="0" fontId="34" fillId="38" borderId="108"/>
    <xf numFmtId="0" fontId="34" fillId="38" borderId="108"/>
    <xf numFmtId="0" fontId="34" fillId="38" borderId="108"/>
    <xf numFmtId="0" fontId="27" fillId="51" borderId="108"/>
    <xf numFmtId="0" fontId="34" fillId="38" borderId="108"/>
    <xf numFmtId="0" fontId="39" fillId="0" borderId="111"/>
    <xf numFmtId="0" fontId="34" fillId="38" borderId="108"/>
    <xf numFmtId="0" fontId="34" fillId="38" borderId="108"/>
    <xf numFmtId="0" fontId="37" fillId="51" borderId="110"/>
    <xf numFmtId="0" fontId="34" fillId="38" borderId="108"/>
    <xf numFmtId="0" fontId="22" fillId="54" borderId="109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4" fillId="38" borderId="108"/>
    <xf numFmtId="0" fontId="27" fillId="51" borderId="108"/>
    <xf numFmtId="0" fontId="27" fillId="51" borderId="108"/>
    <xf numFmtId="0" fontId="37" fillId="51" borderId="110"/>
    <xf numFmtId="0" fontId="34" fillId="38" borderId="108"/>
    <xf numFmtId="0" fontId="37" fillId="51" borderId="110"/>
    <xf numFmtId="0" fontId="39" fillId="0" borderId="111"/>
    <xf numFmtId="0" fontId="37" fillId="51" borderId="110"/>
    <xf numFmtId="0" fontId="27" fillId="51" borderId="108"/>
    <xf numFmtId="0" fontId="27" fillId="51" borderId="108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27" fillId="51" borderId="108"/>
    <xf numFmtId="0" fontId="39" fillId="0" borderId="111"/>
    <xf numFmtId="0" fontId="39" fillId="0" borderId="111"/>
    <xf numFmtId="0" fontId="27" fillId="51" borderId="108"/>
    <xf numFmtId="0" fontId="27" fillId="51" borderId="108"/>
    <xf numFmtId="0" fontId="34" fillId="38" borderId="108"/>
    <xf numFmtId="0" fontId="37" fillId="51" borderId="110"/>
    <xf numFmtId="0" fontId="39" fillId="0" borderId="111"/>
    <xf numFmtId="0" fontId="39" fillId="0" borderId="111"/>
    <xf numFmtId="0" fontId="27" fillId="51" borderId="108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22" fillId="54" borderId="109"/>
    <xf numFmtId="0" fontId="27" fillId="51" borderId="108"/>
    <xf numFmtId="0" fontId="37" fillId="51" borderId="110"/>
    <xf numFmtId="0" fontId="34" fillId="38" borderId="108"/>
    <xf numFmtId="0" fontId="34" fillId="38" borderId="108"/>
    <xf numFmtId="0" fontId="27" fillId="51" borderId="108"/>
    <xf numFmtId="0" fontId="34" fillId="38" borderId="108"/>
    <xf numFmtId="0" fontId="37" fillId="51" borderId="110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27" fillId="51" borderId="108"/>
    <xf numFmtId="0" fontId="27" fillId="51" borderId="108"/>
    <xf numFmtId="0" fontId="27" fillId="51" borderId="108"/>
    <xf numFmtId="0" fontId="27" fillId="51" borderId="108"/>
    <xf numFmtId="0" fontId="39" fillId="0" borderId="111"/>
    <xf numFmtId="0" fontId="37" fillId="51" borderId="110"/>
    <xf numFmtId="0" fontId="27" fillId="51" borderId="108"/>
    <xf numFmtId="0" fontId="34" fillId="38" borderId="108"/>
    <xf numFmtId="0" fontId="34" fillId="38" borderId="108"/>
    <xf numFmtId="0" fontId="37" fillId="51" borderId="110"/>
    <xf numFmtId="0" fontId="22" fillId="54" borderId="109"/>
    <xf numFmtId="0" fontId="37" fillId="51" borderId="110"/>
    <xf numFmtId="0" fontId="37" fillId="51" borderId="110"/>
    <xf numFmtId="0" fontId="34" fillId="38" borderId="108"/>
    <xf numFmtId="0" fontId="22" fillId="54" borderId="109"/>
    <xf numFmtId="0" fontId="34" fillId="38" borderId="108"/>
    <xf numFmtId="0" fontId="39" fillId="0" borderId="111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39" fillId="0" borderId="111"/>
    <xf numFmtId="0" fontId="39" fillId="0" borderId="111"/>
    <xf numFmtId="0" fontId="39" fillId="0" borderId="111"/>
    <xf numFmtId="0" fontId="37" fillId="51" borderId="110"/>
    <xf numFmtId="0" fontId="27" fillId="51" borderId="108"/>
    <xf numFmtId="0" fontId="22" fillId="54" borderId="109"/>
    <xf numFmtId="0" fontId="37" fillId="51" borderId="110"/>
    <xf numFmtId="0" fontId="27" fillId="51" borderId="108"/>
    <xf numFmtId="0" fontId="27" fillId="51" borderId="108"/>
    <xf numFmtId="0" fontId="34" fillId="38" borderId="108"/>
    <xf numFmtId="0" fontId="39" fillId="0" borderId="111"/>
    <xf numFmtId="0" fontId="39" fillId="0" borderId="111"/>
    <xf numFmtId="0" fontId="34" fillId="38" borderId="108"/>
    <xf numFmtId="0" fontId="39" fillId="0" borderId="111"/>
    <xf numFmtId="0" fontId="39" fillId="0" borderId="111"/>
    <xf numFmtId="0" fontId="27" fillId="51" borderId="108"/>
    <xf numFmtId="0" fontId="22" fillId="54" borderId="109"/>
    <xf numFmtId="0" fontId="39" fillId="0" borderId="111"/>
    <xf numFmtId="0" fontId="37" fillId="51" borderId="110"/>
    <xf numFmtId="0" fontId="22" fillId="54" borderId="109"/>
    <xf numFmtId="0" fontId="22" fillId="54" borderId="109"/>
    <xf numFmtId="0" fontId="37" fillId="51" borderId="110"/>
    <xf numFmtId="0" fontId="37" fillId="51" borderId="110"/>
    <xf numFmtId="0" fontId="34" fillId="38" borderId="108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22" fillId="54" borderId="109"/>
    <xf numFmtId="0" fontId="39" fillId="0" borderId="111"/>
    <xf numFmtId="0" fontId="22" fillId="54" borderId="109"/>
    <xf numFmtId="0" fontId="39" fillId="0" borderId="111"/>
    <xf numFmtId="0" fontId="39" fillId="0" borderId="111"/>
    <xf numFmtId="0" fontId="39" fillId="0" borderId="111"/>
    <xf numFmtId="0" fontId="37" fillId="51" borderId="110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22" fillId="54" borderId="109"/>
    <xf numFmtId="0" fontId="22" fillId="54" borderId="109"/>
    <xf numFmtId="0" fontId="39" fillId="0" borderId="111"/>
    <xf numFmtId="0" fontId="37" fillId="51" borderId="110"/>
    <xf numFmtId="0" fontId="34" fillId="38" borderId="108"/>
    <xf numFmtId="0" fontId="34" fillId="38" borderId="108"/>
    <xf numFmtId="0" fontId="37" fillId="51" borderId="110"/>
    <xf numFmtId="0" fontId="37" fillId="51" borderId="110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37" fillId="51" borderId="110"/>
    <xf numFmtId="0" fontId="27" fillId="51" borderId="108"/>
    <xf numFmtId="0" fontId="37" fillId="51" borderId="110"/>
    <xf numFmtId="0" fontId="37" fillId="51" borderId="110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37" fillId="51" borderId="110"/>
    <xf numFmtId="0" fontId="39" fillId="0" borderId="111"/>
    <xf numFmtId="0" fontId="22" fillId="54" borderId="109"/>
    <xf numFmtId="0" fontId="34" fillId="38" borderId="108"/>
    <xf numFmtId="0" fontId="39" fillId="0" borderId="111"/>
    <xf numFmtId="0" fontId="22" fillId="54" borderId="109"/>
    <xf numFmtId="0" fontId="37" fillId="51" borderId="110"/>
    <xf numFmtId="0" fontId="37" fillId="51" borderId="110"/>
    <xf numFmtId="0" fontId="37" fillId="51" borderId="110"/>
    <xf numFmtId="0" fontId="27" fillId="51" borderId="108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37" fillId="51" borderId="110"/>
    <xf numFmtId="0" fontId="22" fillId="54" borderId="109"/>
    <xf numFmtId="0" fontId="34" fillId="38" borderId="108"/>
    <xf numFmtId="0" fontId="39" fillId="0" borderId="111"/>
    <xf numFmtId="0" fontId="34" fillId="38" borderId="108"/>
    <xf numFmtId="0" fontId="27" fillId="51" borderId="108"/>
    <xf numFmtId="0" fontId="27" fillId="51" borderId="108"/>
    <xf numFmtId="0" fontId="39" fillId="0" borderId="111"/>
    <xf numFmtId="0" fontId="27" fillId="51" borderId="108"/>
    <xf numFmtId="0" fontId="34" fillId="38" borderId="108"/>
    <xf numFmtId="0" fontId="39" fillId="0" borderId="111"/>
    <xf numFmtId="0" fontId="37" fillId="51" borderId="110"/>
    <xf numFmtId="0" fontId="37" fillId="51" borderId="110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22" fillId="54" borderId="109"/>
    <xf numFmtId="0" fontId="27" fillId="51" borderId="108"/>
    <xf numFmtId="0" fontId="27" fillId="51" borderId="108"/>
    <xf numFmtId="0" fontId="34" fillId="38" borderId="108"/>
    <xf numFmtId="0" fontId="37" fillId="51" borderId="110"/>
    <xf numFmtId="0" fontId="34" fillId="38" borderId="108"/>
    <xf numFmtId="0" fontId="39" fillId="0" borderId="111"/>
    <xf numFmtId="0" fontId="34" fillId="38" borderId="108"/>
    <xf numFmtId="0" fontId="27" fillId="51" borderId="108"/>
    <xf numFmtId="0" fontId="22" fillId="54" borderId="109"/>
    <xf numFmtId="0" fontId="27" fillId="51" borderId="108"/>
    <xf numFmtId="0" fontId="34" fillId="38" borderId="108"/>
    <xf numFmtId="0" fontId="27" fillId="51" borderId="108"/>
    <xf numFmtId="0" fontId="37" fillId="51" borderId="110"/>
    <xf numFmtId="0" fontId="22" fillId="54" borderId="109"/>
    <xf numFmtId="0" fontId="22" fillId="54" borderId="109"/>
    <xf numFmtId="0" fontId="27" fillId="51" borderId="108"/>
    <xf numFmtId="0" fontId="39" fillId="0" borderId="111"/>
    <xf numFmtId="0" fontId="22" fillId="54" borderId="109"/>
    <xf numFmtId="0" fontId="22" fillId="54" borderId="109"/>
    <xf numFmtId="0" fontId="27" fillId="51" borderId="108"/>
    <xf numFmtId="0" fontId="22" fillId="54" borderId="109"/>
    <xf numFmtId="0" fontId="37" fillId="51" borderId="110"/>
    <xf numFmtId="0" fontId="22" fillId="54" borderId="109"/>
    <xf numFmtId="0" fontId="34" fillId="38" borderId="108"/>
    <xf numFmtId="0" fontId="34" fillId="38" borderId="108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7" fillId="51" borderId="110"/>
    <xf numFmtId="0" fontId="22" fillId="54" borderId="109"/>
    <xf numFmtId="0" fontId="27" fillId="51" borderId="108"/>
    <xf numFmtId="0" fontId="39" fillId="0" borderId="111"/>
    <xf numFmtId="0" fontId="39" fillId="0" borderId="111"/>
    <xf numFmtId="0" fontId="37" fillId="51" borderId="110"/>
    <xf numFmtId="0" fontId="37" fillId="51" borderId="110"/>
    <xf numFmtId="0" fontId="27" fillId="51" borderId="108"/>
    <xf numFmtId="0" fontId="27" fillId="51" borderId="108"/>
    <xf numFmtId="0" fontId="37" fillId="51" borderId="110"/>
    <xf numFmtId="0" fontId="22" fillId="54" borderId="109"/>
    <xf numFmtId="0" fontId="22" fillId="54" borderId="109"/>
    <xf numFmtId="0" fontId="22" fillId="54" borderId="109"/>
    <xf numFmtId="0" fontId="27" fillId="51" borderId="108"/>
    <xf numFmtId="0" fontId="39" fillId="0" borderId="111"/>
    <xf numFmtId="0" fontId="22" fillId="54" borderId="109"/>
    <xf numFmtId="0" fontId="34" fillId="38" borderId="108"/>
    <xf numFmtId="0" fontId="39" fillId="0" borderId="111"/>
    <xf numFmtId="0" fontId="39" fillId="0" borderId="111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22" fillId="54" borderId="109"/>
    <xf numFmtId="0" fontId="39" fillId="0" borderId="111"/>
    <xf numFmtId="0" fontId="27" fillId="51" borderId="108"/>
    <xf numFmtId="0" fontId="39" fillId="0" borderId="111"/>
    <xf numFmtId="0" fontId="22" fillId="54" borderId="109"/>
    <xf numFmtId="0" fontId="39" fillId="0" borderId="111"/>
    <xf numFmtId="0" fontId="27" fillId="51" borderId="108"/>
    <xf numFmtId="0" fontId="37" fillId="51" borderId="110"/>
    <xf numFmtId="0" fontId="34" fillId="38" borderId="108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7" fillId="51" borderId="110"/>
    <xf numFmtId="0" fontId="27" fillId="51" borderId="108"/>
    <xf numFmtId="0" fontId="37" fillId="51" borderId="110"/>
    <xf numFmtId="0" fontId="34" fillId="38" borderId="108"/>
    <xf numFmtId="0" fontId="39" fillId="0" borderId="111"/>
    <xf numFmtId="0" fontId="22" fillId="54" borderId="109"/>
    <xf numFmtId="0" fontId="39" fillId="0" borderId="111"/>
    <xf numFmtId="0" fontId="39" fillId="0" borderId="111"/>
    <xf numFmtId="0" fontId="39" fillId="0" borderId="111"/>
    <xf numFmtId="0" fontId="27" fillId="51" borderId="108"/>
    <xf numFmtId="0" fontId="22" fillId="54" borderId="109"/>
    <xf numFmtId="0" fontId="34" fillId="38" borderId="108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9" fillId="0" borderId="111"/>
    <xf numFmtId="0" fontId="22" fillId="54" borderId="109"/>
    <xf numFmtId="0" fontId="34" fillId="38" borderId="108"/>
    <xf numFmtId="0" fontId="22" fillId="54" borderId="109"/>
    <xf numFmtId="0" fontId="22" fillId="54" borderId="109"/>
    <xf numFmtId="0" fontId="39" fillId="0" borderId="111"/>
    <xf numFmtId="0" fontId="22" fillId="54" borderId="109"/>
    <xf numFmtId="0" fontId="37" fillId="51" borderId="110"/>
    <xf numFmtId="0" fontId="27" fillId="51" borderId="108"/>
    <xf numFmtId="0" fontId="27" fillId="51" borderId="108"/>
    <xf numFmtId="0" fontId="37" fillId="51" borderId="110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9" fillId="0" borderId="111"/>
    <xf numFmtId="0" fontId="22" fillId="54" borderId="109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9" fillId="0" borderId="111"/>
    <xf numFmtId="0" fontId="39" fillId="0" borderId="111"/>
    <xf numFmtId="0" fontId="39" fillId="0" borderId="111"/>
    <xf numFmtId="0" fontId="22" fillId="54" borderId="109"/>
    <xf numFmtId="0" fontId="34" fillId="38" borderId="108"/>
    <xf numFmtId="0" fontId="37" fillId="51" borderId="110"/>
    <xf numFmtId="0" fontId="39" fillId="0" borderId="111"/>
    <xf numFmtId="0" fontId="37" fillId="51" borderId="110"/>
    <xf numFmtId="0" fontId="22" fillId="54" borderId="109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39" fillId="0" borderId="111"/>
    <xf numFmtId="0" fontId="39" fillId="0" borderId="111"/>
    <xf numFmtId="0" fontId="37" fillId="51" borderId="110"/>
    <xf numFmtId="0" fontId="22" fillId="54" borderId="109"/>
    <xf numFmtId="0" fontId="34" fillId="38" borderId="108"/>
    <xf numFmtId="0" fontId="37" fillId="51" borderId="110"/>
    <xf numFmtId="0" fontId="27" fillId="51" borderId="108"/>
    <xf numFmtId="0" fontId="22" fillId="54" borderId="109"/>
    <xf numFmtId="0" fontId="27" fillId="51" borderId="108"/>
    <xf numFmtId="0" fontId="22" fillId="54" borderId="109"/>
    <xf numFmtId="0" fontId="34" fillId="38" borderId="108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34" fillId="38" borderId="108"/>
    <xf numFmtId="0" fontId="22" fillId="54" borderId="109"/>
    <xf numFmtId="0" fontId="34" fillId="38" borderId="108"/>
    <xf numFmtId="0" fontId="27" fillId="51" borderId="108"/>
    <xf numFmtId="0" fontId="37" fillId="51" borderId="110"/>
    <xf numFmtId="0" fontId="22" fillId="54" borderId="109"/>
    <xf numFmtId="0" fontId="37" fillId="51" borderId="110"/>
    <xf numFmtId="0" fontId="39" fillId="0" borderId="111"/>
    <xf numFmtId="0" fontId="34" fillId="38" borderId="108"/>
    <xf numFmtId="0" fontId="22" fillId="54" borderId="109"/>
    <xf numFmtId="0" fontId="34" fillId="38" borderId="108"/>
    <xf numFmtId="0" fontId="27" fillId="51" borderId="108"/>
    <xf numFmtId="0" fontId="22" fillId="54" borderId="109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34" fillId="38" borderId="108"/>
    <xf numFmtId="0" fontId="39" fillId="0" borderId="111"/>
    <xf numFmtId="0" fontId="22" fillId="54" borderId="109"/>
    <xf numFmtId="0" fontId="22" fillId="54" borderId="109"/>
    <xf numFmtId="0" fontId="27" fillId="51" borderId="108"/>
    <xf numFmtId="0" fontId="22" fillId="54" borderId="109"/>
    <xf numFmtId="0" fontId="37" fillId="51" borderId="110"/>
    <xf numFmtId="0" fontId="39" fillId="0" borderId="111"/>
    <xf numFmtId="0" fontId="37" fillId="51" borderId="110"/>
    <xf numFmtId="0" fontId="27" fillId="51" borderId="108"/>
    <xf numFmtId="0" fontId="39" fillId="0" borderId="111"/>
    <xf numFmtId="0" fontId="39" fillId="0" borderId="111"/>
    <xf numFmtId="0" fontId="37" fillId="51" borderId="110"/>
    <xf numFmtId="0" fontId="39" fillId="0" borderId="111"/>
    <xf numFmtId="0" fontId="37" fillId="51" borderId="110"/>
    <xf numFmtId="0" fontId="34" fillId="38" borderId="108"/>
    <xf numFmtId="0" fontId="27" fillId="51" borderId="108"/>
    <xf numFmtId="0" fontId="22" fillId="54" borderId="109"/>
  </cellStyleXfs>
  <cellXfs count="218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5" fillId="0" borderId="55" applyAlignment="1" pivotButton="0" quotePrefix="0" xfId="0">
      <alignment horizontal="center"/>
    </xf>
    <xf numFmtId="0" fontId="5" fillId="0" borderId="56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/>
    </xf>
    <xf numFmtId="0" fontId="5" fillId="0" borderId="66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5" fillId="0" borderId="65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52" applyAlignment="1" pivotButton="0" quotePrefix="0" xfId="0">
      <alignment wrapText="1"/>
    </xf>
    <xf numFmtId="0" fontId="5" fillId="0" borderId="2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0" fontId="2" fillId="0" borderId="8" applyAlignment="1" pivotButton="0" quotePrefix="0" xfId="0">
      <alignment wrapText="1"/>
    </xf>
    <xf numFmtId="0" fontId="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17" fontId="0" fillId="0" borderId="55" applyAlignment="1" pivotButton="0" quotePrefix="0" xfId="0">
      <alignment horizontal="center"/>
    </xf>
    <xf numFmtId="0" fontId="5" fillId="0" borderId="65" applyAlignment="1" pivotButton="0" quotePrefix="0" xfId="0">
      <alignment horizontal="center"/>
    </xf>
    <xf numFmtId="0" fontId="5" fillId="0" borderId="6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1" fontId="0" fillId="0" borderId="16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49" applyAlignment="1" pivotButton="0" quotePrefix="0" xfId="0">
      <alignment horizontal="center"/>
    </xf>
    <xf numFmtId="1" fontId="1" fillId="0" borderId="27" applyAlignment="1" pivotButton="0" quotePrefix="0" xfId="0">
      <alignment horizontal="center"/>
    </xf>
    <xf numFmtId="1" fontId="0" fillId="0" borderId="28" applyAlignment="1" pivotButton="0" quotePrefix="0" xfId="0">
      <alignment horizontal="center"/>
    </xf>
    <xf numFmtId="1" fontId="0" fillId="0" borderId="48" applyAlignment="1" pivotButton="0" quotePrefix="0" xfId="0">
      <alignment horizontal="center"/>
    </xf>
    <xf numFmtId="1" fontId="0" fillId="0" borderId="45" applyAlignment="1" pivotButton="0" quotePrefix="0" xfId="0">
      <alignment horizontal="center"/>
    </xf>
    <xf numFmtId="1" fontId="1" fillId="0" borderId="13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4" applyAlignment="1" pivotButton="0" quotePrefix="0" xfId="0">
      <alignment horizontal="center"/>
    </xf>
    <xf numFmtId="1" fontId="1" fillId="0" borderId="28" applyAlignment="1" pivotButton="0" quotePrefix="0" xfId="0">
      <alignment horizontal="center"/>
    </xf>
    <xf numFmtId="1" fontId="60" fillId="0" borderId="47" applyAlignment="1" pivotButton="0" quotePrefix="0" xfId="4">
      <alignment horizontal="center" vertical="center"/>
    </xf>
    <xf numFmtId="2" fontId="1" fillId="0" borderId="112" applyAlignment="1" pivotButton="0" quotePrefix="0" xfId="0">
      <alignment horizontal="center" vertical="center"/>
    </xf>
    <xf numFmtId="1" fontId="60" fillId="0" borderId="47" applyAlignment="1" pivotButton="0" quotePrefix="0" xfId="0">
      <alignment horizontal="center"/>
    </xf>
    <xf numFmtId="1" fontId="60" fillId="0" borderId="38" applyAlignment="1" pivotButton="0" quotePrefix="0" xfId="0">
      <alignment horizontal="center"/>
    </xf>
    <xf numFmtId="1" fontId="60" fillId="0" borderId="57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" fontId="6" fillId="0" borderId="47" applyAlignment="1" pivotButton="0" quotePrefix="0" xfId="0">
      <alignment horizontal="center" vertical="center"/>
    </xf>
    <xf numFmtId="1" fontId="6" fillId="0" borderId="9" applyAlignment="1" pivotButton="0" quotePrefix="0" xfId="0">
      <alignment horizontal="center" vertical="center"/>
    </xf>
    <xf numFmtId="1" fontId="6" fillId="0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" fontId="6" fillId="0" borderId="54" applyAlignment="1" pivotButton="0" quotePrefix="0" xfId="0">
      <alignment horizontal="center" vertical="center"/>
    </xf>
    <xf numFmtId="1" fontId="6" fillId="0" borderId="44" applyAlignment="1" pivotButton="0" quotePrefix="0" xfId="0">
      <alignment horizontal="center" vertical="center"/>
    </xf>
    <xf numFmtId="1" fontId="6" fillId="0" borderId="43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1" fontId="6" fillId="0" borderId="5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62" fillId="0" borderId="47" applyAlignment="1" pivotButton="0" quotePrefix="0" xfId="0">
      <alignment horizontal="center" vertical="center"/>
    </xf>
    <xf numFmtId="1" fontId="6" fillId="0" borderId="3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" fontId="6" fillId="0" borderId="11" applyAlignment="1" pivotButton="0" quotePrefix="0" xfId="0">
      <alignment horizontal="center" vertical="center"/>
    </xf>
    <xf numFmtId="1" fontId="6" fillId="0" borderId="45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66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61" fillId="0" borderId="2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 wrapText="1"/>
    </xf>
    <xf numFmtId="1" fontId="6" fillId="0" borderId="112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61" fillId="0" borderId="27" applyAlignment="1" pivotButton="0" quotePrefix="0" xfId="0">
      <alignment horizontal="center" vertical="center"/>
    </xf>
    <xf numFmtId="1" fontId="6" fillId="0" borderId="39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" fontId="6" fillId="0" borderId="12" applyAlignment="1" pivotButton="0" quotePrefix="0" xfId="0">
      <alignment horizontal="center" vertical="center"/>
    </xf>
    <xf numFmtId="1" fontId="6" fillId="0" borderId="13" applyAlignment="1" pivotButton="0" quotePrefix="0" xfId="0">
      <alignment horizontal="center" vertical="center"/>
    </xf>
    <xf numFmtId="1" fontId="6" fillId="0" borderId="14" applyAlignment="1" pivotButton="0" quotePrefix="0" xfId="0">
      <alignment horizontal="center" vertical="center"/>
    </xf>
    <xf numFmtId="1" fontId="6" fillId="0" borderId="16" applyAlignment="1" pivotButton="0" quotePrefix="0" xfId="0">
      <alignment horizontal="center" vertical="center"/>
    </xf>
    <xf numFmtId="1" fontId="6" fillId="0" borderId="48" applyAlignment="1" pivotButton="0" quotePrefix="0" xfId="0">
      <alignment horizontal="center" vertical="center"/>
    </xf>
    <xf numFmtId="1" fontId="6" fillId="0" borderId="49" applyAlignment="1" pivotButton="0" quotePrefix="0" xfId="0">
      <alignment horizontal="center" vertical="center"/>
    </xf>
    <xf numFmtId="1" fontId="6" fillId="0" borderId="15" applyAlignment="1" pivotButton="0" quotePrefix="0" xfId="0">
      <alignment horizontal="center" vertical="center"/>
    </xf>
    <xf numFmtId="1" fontId="6" fillId="0" borderId="115" applyAlignment="1" pivotButton="0" quotePrefix="0" xfId="0">
      <alignment horizontal="center" vertical="center"/>
    </xf>
    <xf numFmtId="1" fontId="6" fillId="0" borderId="116" applyAlignment="1" pivotButton="0" quotePrefix="0" xfId="0">
      <alignment horizontal="center" vertical="center"/>
    </xf>
    <xf numFmtId="1" fontId="6" fillId="0" borderId="56" applyAlignment="1" pivotButton="0" quotePrefix="0" xfId="0">
      <alignment horizontal="center" vertical="center"/>
    </xf>
    <xf numFmtId="1" fontId="6" fillId="0" borderId="60" applyAlignment="1" pivotButton="0" quotePrefix="0" xfId="0">
      <alignment horizontal="center" vertical="center"/>
    </xf>
    <xf numFmtId="1" fontId="6" fillId="0" borderId="58" applyAlignment="1" pivotButton="0" quotePrefix="0" xfId="0">
      <alignment horizontal="center" vertical="center"/>
    </xf>
    <xf numFmtId="1" fontId="6" fillId="0" borderId="62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65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5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/>
    </xf>
    <xf numFmtId="0" fontId="2" fillId="0" borderId="72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117" applyAlignment="1" pivotButton="0" quotePrefix="0" xfId="0">
      <alignment horizontal="center" vertical="center"/>
    </xf>
    <xf numFmtId="0" fontId="61" fillId="0" borderId="26" applyAlignment="1" pivotButton="0" quotePrefix="0" xfId="0">
      <alignment horizontal="center" vertical="center"/>
    </xf>
    <xf numFmtId="0" fontId="61" fillId="0" borderId="21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/>
    </xf>
    <xf numFmtId="0" fontId="61" fillId="0" borderId="63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61" fillId="0" borderId="51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58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0" fontId="5" fillId="0" borderId="55" applyAlignment="1" pivotButton="0" quotePrefix="0" xfId="0">
      <alignment vertical="center"/>
    </xf>
    <xf numFmtId="0" fontId="5" fillId="0" borderId="64" applyAlignment="1" pivotButton="0" quotePrefix="0" xfId="0">
      <alignment vertical="center"/>
    </xf>
    <xf numFmtId="0" fontId="2" fillId="0" borderId="61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15" applyAlignment="1" pivotButton="0" quotePrefix="0" xfId="0">
      <alignment horizontal="center" vertical="center"/>
    </xf>
    <xf numFmtId="0" fontId="2" fillId="0" borderId="60" applyAlignment="1" pivotButton="0" quotePrefix="0" xfId="0">
      <alignment horizontal="center" vertical="center"/>
    </xf>
    <xf numFmtId="0" fontId="2" fillId="0" borderId="1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115" applyAlignment="1" pivotButton="0" quotePrefix="0" xfId="0">
      <alignment horizontal="center" vertical="center"/>
    </xf>
    <xf numFmtId="0" fontId="61" fillId="0" borderId="61" applyAlignment="1" pivotButton="0" quotePrefix="0" xfId="0">
      <alignment horizontal="center" vertical="center"/>
    </xf>
    <xf numFmtId="0" fontId="61" fillId="0" borderId="32" applyAlignment="1" pivotButton="0" quotePrefix="0" xfId="0">
      <alignment horizontal="center" vertical="center"/>
    </xf>
    <xf numFmtId="2" fontId="61" fillId="0" borderId="63" applyAlignment="1" pivotButton="0" quotePrefix="0" xfId="0">
      <alignment horizontal="center" vertical="center"/>
    </xf>
    <xf numFmtId="2" fontId="2" fillId="0" borderId="6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55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" fontId="6" fillId="0" borderId="57" applyAlignment="1" pivotButton="0" quotePrefix="0" xfId="0">
      <alignment horizontal="center" vertical="center"/>
    </xf>
    <xf numFmtId="1" fontId="6" fillId="0" borderId="72" applyAlignment="1" pivotButton="0" quotePrefix="0" xfId="0">
      <alignment horizontal="center" vertical="center"/>
    </xf>
    <xf numFmtId="1" fontId="6" fillId="0" borderId="73" applyAlignment="1" pivotButton="0" quotePrefix="0" xfId="0">
      <alignment horizontal="center" vertical="center"/>
    </xf>
    <xf numFmtId="1" fontId="6" fillId="0" borderId="118" applyAlignment="1" pivotButton="0" quotePrefix="0" xfId="0">
      <alignment horizontal="center" vertical="center"/>
    </xf>
    <xf numFmtId="1" fontId="6" fillId="0" borderId="22" applyAlignment="1" pivotButton="0" quotePrefix="0" xfId="0">
      <alignment horizontal="center" vertical="center"/>
    </xf>
    <xf numFmtId="1" fontId="6" fillId="0" borderId="8" applyAlignment="1" pivotButton="0" quotePrefix="0" xfId="0">
      <alignment horizontal="center" vertical="center"/>
    </xf>
    <xf numFmtId="1" fontId="6" fillId="0" borderId="26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5" fillId="55" borderId="71" applyAlignment="1" pivotButton="0" quotePrefix="0" xfId="0">
      <alignment vertical="center"/>
    </xf>
    <xf numFmtId="0" fontId="63" fillId="0" borderId="8" applyAlignment="1" pivotButton="0" quotePrefix="0" xfId="0">
      <alignment horizontal="center" vertical="center" wrapText="1"/>
    </xf>
    <xf numFmtId="0" fontId="3" fillId="0" borderId="112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56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1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/>
    </xf>
    <xf numFmtId="0" fontId="59" fillId="0" borderId="9" applyAlignment="1" pivotButton="0" quotePrefix="0" xfId="0">
      <alignment horizontal="center" vertical="center"/>
    </xf>
    <xf numFmtId="0" fontId="59" fillId="0" borderId="10" applyAlignment="1" pivotButton="0" quotePrefix="0" xfId="0">
      <alignment horizontal="center" vertical="center"/>
    </xf>
    <xf numFmtId="0" fontId="59" fillId="0" borderId="36" applyAlignment="1" pivotButton="0" quotePrefix="0" xfId="0">
      <alignment horizontal="center" vertical="center"/>
    </xf>
    <xf numFmtId="0" fontId="59" fillId="0" borderId="47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/>
    </xf>
    <xf numFmtId="0" fontId="59" fillId="0" borderId="112" applyAlignment="1" pivotButton="0" quotePrefix="0" xfId="0">
      <alignment horizontal="center" vertical="center"/>
    </xf>
    <xf numFmtId="0" fontId="59" fillId="0" borderId="5" applyAlignment="1" pivotButton="0" quotePrefix="0" xfId="0">
      <alignment horizontal="center" vertical="center"/>
    </xf>
    <xf numFmtId="0" fontId="59" fillId="0" borderId="48" applyAlignment="1" pivotButton="0" quotePrefix="0" xfId="0">
      <alignment horizontal="center" vertical="center"/>
    </xf>
    <xf numFmtId="0" fontId="59" fillId="0" borderId="8" applyAlignment="1" pivotButton="0" quotePrefix="0" xfId="0">
      <alignment horizontal="center" vertical="center" wrapText="1"/>
    </xf>
    <xf numFmtId="0" fontId="61" fillId="0" borderId="11" applyAlignment="1" pivotButton="0" quotePrefix="0" xfId="0">
      <alignment horizontal="center" vertical="center"/>
    </xf>
    <xf numFmtId="0" fontId="61" fillId="0" borderId="13" applyAlignment="1" pivotButton="0" quotePrefix="0" xfId="0">
      <alignment horizontal="center" vertical="center"/>
    </xf>
    <xf numFmtId="0" fontId="61" fillId="0" borderId="16" applyAlignment="1" pivotButton="0" quotePrefix="0" xfId="0">
      <alignment horizontal="center" vertical="center"/>
    </xf>
    <xf numFmtId="0" fontId="5" fillId="55" borderId="21" applyAlignment="1" pivotButton="0" quotePrefix="0" xfId="0">
      <alignment horizontal="center" vertical="center"/>
    </xf>
    <xf numFmtId="0" fontId="0" fillId="0" borderId="112" applyAlignment="1" pivotButton="0" quotePrefix="0" xfId="0">
      <alignment horizontal="center"/>
    </xf>
    <xf numFmtId="0" fontId="59" fillId="0" borderId="11" applyAlignment="1" pivotButton="0" quotePrefix="0" xfId="0">
      <alignment horizontal="center" vertical="center"/>
    </xf>
    <xf numFmtId="0" fontId="59" fillId="0" borderId="13" applyAlignment="1" pivotButton="0" quotePrefix="0" xfId="0">
      <alignment horizontal="center" vertical="center"/>
    </xf>
    <xf numFmtId="0" fontId="59" fillId="0" borderId="67" applyAlignment="1" pivotButton="0" quotePrefix="0" xfId="0">
      <alignment horizontal="center" vertical="center" wrapText="1"/>
    </xf>
    <xf numFmtId="0" fontId="59" fillId="0" borderId="0" pivotButton="0" quotePrefix="0" xfId="0"/>
    <xf numFmtId="1" fontId="60" fillId="0" borderId="52" applyAlignment="1" pivotButton="0" quotePrefix="0" xfId="0">
      <alignment horizontal="center" vertical="center"/>
    </xf>
    <xf numFmtId="0" fontId="0" fillId="57" borderId="0" applyAlignment="1" pivotButton="0" quotePrefix="0" xfId="0">
      <alignment horizontal="left"/>
    </xf>
    <xf numFmtId="3" fontId="2" fillId="0" borderId="0" applyAlignment="1" pivotButton="0" quotePrefix="0" xfId="0">
      <alignment horizontal="center" vertical="center"/>
    </xf>
    <xf numFmtId="16" fontId="2" fillId="0" borderId="11" applyAlignment="1" pivotButton="0" quotePrefix="0" xfId="0">
      <alignment horizontal="center" vertical="center"/>
    </xf>
    <xf numFmtId="16" fontId="2" fillId="0" borderId="13" applyAlignment="1" pivotButton="0" quotePrefix="0" xfId="0">
      <alignment horizontal="center" vertical="center"/>
    </xf>
    <xf numFmtId="16" fontId="2" fillId="0" borderId="36" applyAlignment="1" pivotButton="0" quotePrefix="0" xfId="0">
      <alignment horizontal="center" vertical="center"/>
    </xf>
    <xf numFmtId="16" fontId="2" fillId="0" borderId="115" applyAlignment="1" pivotButton="0" quotePrefix="0" xfId="0">
      <alignment horizontal="center" vertical="center"/>
    </xf>
    <xf numFmtId="1" fontId="6" fillId="0" borderId="28" applyAlignment="1" pivotButton="0" quotePrefix="0" xfId="0">
      <alignment horizontal="center" vertical="center"/>
    </xf>
    <xf numFmtId="0" fontId="64" fillId="0" borderId="14" applyAlignment="1" pivotButton="0" quotePrefix="0" xfId="0">
      <alignment horizontal="center" vertical="center" wrapText="1"/>
    </xf>
    <xf numFmtId="14" fontId="2" fillId="0" borderId="11" applyAlignment="1" pivotButton="0" quotePrefix="0" xfId="0">
      <alignment horizontal="center" vertical="center"/>
    </xf>
    <xf numFmtId="14" fontId="2" fillId="0" borderId="13" applyAlignment="1" pivotButton="0" quotePrefix="0" xfId="0">
      <alignment horizontal="center" vertical="center"/>
    </xf>
    <xf numFmtId="17" fontId="2" fillId="0" borderId="12" applyAlignment="1" pivotButton="0" quotePrefix="1" xfId="0">
      <alignment horizontal="center" vertical="center"/>
    </xf>
    <xf numFmtId="14" fontId="2" fillId="0" borderId="16" applyAlignment="1" pivotButton="0" quotePrefix="0" xfId="0">
      <alignment horizontal="center" vertical="center"/>
    </xf>
    <xf numFmtId="2" fontId="3" fillId="0" borderId="50" applyAlignment="1" pivotButton="0" quotePrefix="0" xfId="0">
      <alignment horizontal="center" vertical="center"/>
    </xf>
    <xf numFmtId="2" fontId="3" fillId="0" borderId="55" applyAlignment="1" pivotButton="0" quotePrefix="0" xfId="0">
      <alignment horizontal="center" vertical="center"/>
    </xf>
    <xf numFmtId="2" fontId="3" fillId="0" borderId="66" applyAlignment="1" pivotButton="0" quotePrefix="0" xfId="0">
      <alignment horizontal="center" vertical="center"/>
    </xf>
    <xf numFmtId="2" fontId="5" fillId="0" borderId="9" applyAlignment="1" pivotButton="0" quotePrefix="0" xfId="0">
      <alignment horizontal="center" vertical="center"/>
    </xf>
    <xf numFmtId="2" fontId="5" fillId="0" borderId="11" applyAlignment="1" pivotButton="0" quotePrefix="0" xfId="0">
      <alignment horizontal="center" vertical="center"/>
    </xf>
    <xf numFmtId="2" fontId="5" fillId="0" borderId="12" applyAlignment="1" pivotButton="0" quotePrefix="0" xfId="0">
      <alignment horizontal="center" vertical="center"/>
    </xf>
    <xf numFmtId="2" fontId="5" fillId="0" borderId="13" applyAlignment="1" pivotButton="0" quotePrefix="0" xfId="0">
      <alignment horizontal="center" vertical="center"/>
    </xf>
    <xf numFmtId="2" fontId="5" fillId="0" borderId="17" applyAlignment="1" pivotButton="0" quotePrefix="0" xfId="0">
      <alignment horizontal="center" vertical="center"/>
    </xf>
    <xf numFmtId="2" fontId="5" fillId="0" borderId="1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" fontId="3" fillId="0" borderId="11" applyAlignment="1" pivotButton="0" quotePrefix="0" xfId="0">
      <alignment horizontal="center" vertical="center"/>
    </xf>
    <xf numFmtId="16" fontId="3" fillId="0" borderId="36" applyAlignment="1" pivotButton="0" quotePrefix="0" xfId="0">
      <alignment horizontal="center" vertical="center"/>
    </xf>
    <xf numFmtId="16" fontId="3" fillId="0" borderId="13" applyAlignment="1" pivotButton="0" quotePrefix="0" xfId="0">
      <alignment horizontal="center" vertical="center"/>
    </xf>
    <xf numFmtId="16" fontId="3" fillId="0" borderId="115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2" fontId="6" fillId="0" borderId="63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3" fillId="55" borderId="71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38" applyAlignment="1" pivotButton="0" quotePrefix="0" xfId="0">
      <alignment vertical="center"/>
    </xf>
    <xf numFmtId="0" fontId="3" fillId="0" borderId="55" applyAlignment="1" pivotButton="0" quotePrefix="0" xfId="0">
      <alignment vertical="center"/>
    </xf>
    <xf numFmtId="0" fontId="3" fillId="0" borderId="64" applyAlignment="1" pivotButton="0" quotePrefix="0" xfId="0">
      <alignment vertical="center"/>
    </xf>
    <xf numFmtId="0" fontId="3" fillId="0" borderId="58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63" fillId="0" borderId="2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" fontId="63" fillId="0" borderId="47" applyAlignment="1" pivotButton="0" quotePrefix="0" xfId="0">
      <alignment horizontal="center" vertical="center"/>
    </xf>
    <xf numFmtId="1" fontId="63" fillId="0" borderId="39" applyAlignment="1" pivotButton="0" quotePrefix="0" xfId="0">
      <alignment horizontal="center" vertical="center"/>
    </xf>
    <xf numFmtId="1" fontId="63" fillId="0" borderId="11" applyAlignment="1" pivotButton="0" quotePrefix="0" xfId="0">
      <alignment horizontal="center" vertical="center"/>
    </xf>
    <xf numFmtId="1" fontId="63" fillId="0" borderId="9" applyAlignment="1" pivotButton="0" quotePrefix="0" xfId="0">
      <alignment horizontal="center" vertical="center"/>
    </xf>
    <xf numFmtId="1" fontId="63" fillId="0" borderId="10" applyAlignment="1" pivotButton="0" quotePrefix="0" xfId="0">
      <alignment horizontal="center" vertical="center"/>
    </xf>
    <xf numFmtId="1" fontId="63" fillId="0" borderId="36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66" fillId="0" borderId="4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" fontId="63" fillId="0" borderId="48" applyAlignment="1" pivotButton="0" quotePrefix="0" xfId="0">
      <alignment horizontal="center" vertical="center"/>
    </xf>
    <xf numFmtId="1" fontId="63" fillId="0" borderId="6" applyAlignment="1" pivotButton="0" quotePrefix="0" xfId="0">
      <alignment horizontal="center" vertical="center"/>
    </xf>
    <xf numFmtId="1" fontId="63" fillId="0" borderId="13" applyAlignment="1" pivotButton="0" quotePrefix="0" xfId="0">
      <alignment horizontal="center" vertical="center"/>
    </xf>
    <xf numFmtId="1" fontId="63" fillId="0" borderId="12" applyAlignment="1" pivotButton="0" quotePrefix="0" xfId="0">
      <alignment horizontal="center" vertical="center"/>
    </xf>
    <xf numFmtId="1" fontId="63" fillId="0" borderId="112" applyAlignment="1" pivotButton="0" quotePrefix="0" xfId="0">
      <alignment horizontal="center" vertical="center"/>
    </xf>
    <xf numFmtId="1" fontId="63" fillId="0" borderId="5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63" fillId="0" borderId="55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1" fontId="63" fillId="0" borderId="49" applyAlignment="1" pivotButton="0" quotePrefix="0" xfId="0">
      <alignment horizontal="center" vertical="center"/>
    </xf>
    <xf numFmtId="1" fontId="63" fillId="0" borderId="116" applyAlignment="1" pivotButton="0" quotePrefix="0" xfId="0">
      <alignment horizontal="center" vertical="center"/>
    </xf>
    <xf numFmtId="1" fontId="63" fillId="0" borderId="16" applyAlignment="1" pivotButton="0" quotePrefix="0" xfId="0">
      <alignment horizontal="center" vertical="center"/>
    </xf>
    <xf numFmtId="1" fontId="63" fillId="0" borderId="14" applyAlignment="1" pivotButton="0" quotePrefix="0" xfId="0">
      <alignment horizontal="center" vertical="center"/>
    </xf>
    <xf numFmtId="1" fontId="63" fillId="0" borderId="15" applyAlignment="1" pivotButton="0" quotePrefix="0" xfId="0">
      <alignment horizontal="center" vertical="center"/>
    </xf>
    <xf numFmtId="1" fontId="63" fillId="0" borderId="115" applyAlignment="1" pivotButton="0" quotePrefix="0" xfId="0">
      <alignment horizontal="center" vertical="center"/>
    </xf>
    <xf numFmtId="0" fontId="4" fillId="55" borderId="21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63" fillId="0" borderId="26" applyAlignment="1" pivotButton="0" quotePrefix="0" xfId="0">
      <alignment horizontal="center" vertical="center"/>
    </xf>
    <xf numFmtId="1" fontId="63" fillId="0" borderId="56" applyAlignment="1" pivotButton="0" quotePrefix="0" xfId="0">
      <alignment horizontal="center" vertical="center"/>
    </xf>
    <xf numFmtId="1" fontId="63" fillId="0" borderId="60" applyAlignment="1" pivotButton="0" quotePrefix="0" xfId="0">
      <alignment horizontal="center" vertical="center"/>
    </xf>
    <xf numFmtId="1" fontId="63" fillId="0" borderId="58" applyAlignment="1" pivotButton="0" quotePrefix="0" xfId="0">
      <alignment horizontal="center" vertical="center"/>
    </xf>
    <xf numFmtId="1" fontId="63" fillId="0" borderId="51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" fontId="63" fillId="0" borderId="44" applyAlignment="1" pivotButton="0" quotePrefix="0" xfId="0">
      <alignment horizontal="center" vertical="center"/>
    </xf>
    <xf numFmtId="1" fontId="63" fillId="0" borderId="57" applyAlignment="1" pivotButton="0" quotePrefix="0" xfId="0">
      <alignment horizontal="center" vertical="center"/>
    </xf>
    <xf numFmtId="1" fontId="63" fillId="0" borderId="7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63" fillId="0" borderId="73" applyAlignment="1" pivotButton="0" quotePrefix="0" xfId="0">
      <alignment horizontal="center" vertical="center"/>
    </xf>
    <xf numFmtId="1" fontId="63" fillId="0" borderId="22" applyAlignment="1" pivotButton="0" quotePrefix="0" xfId="0">
      <alignment horizontal="center" vertical="center"/>
    </xf>
    <xf numFmtId="1" fontId="63" fillId="0" borderId="8" applyAlignment="1" pivotButton="0" quotePrefix="0" xfId="0">
      <alignment horizontal="center" vertical="center"/>
    </xf>
    <xf numFmtId="1" fontId="63" fillId="0" borderId="62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2" fontId="63" fillId="0" borderId="63" applyAlignment="1" pivotButton="0" quotePrefix="0" xfId="0">
      <alignment horizontal="center" vertical="center"/>
    </xf>
    <xf numFmtId="0" fontId="63" fillId="0" borderId="9" applyAlignment="1" pivotButton="0" quotePrefix="0" xfId="0">
      <alignment horizontal="center" vertical="center"/>
    </xf>
    <xf numFmtId="0" fontId="63" fillId="0" borderId="10" applyAlignment="1" pivotButton="0" quotePrefix="0" xfId="0">
      <alignment horizontal="center" vertical="center"/>
    </xf>
    <xf numFmtId="0" fontId="63" fillId="0" borderId="36" applyAlignment="1" pivotButton="0" quotePrefix="0" xfId="0">
      <alignment horizontal="center" vertical="center"/>
    </xf>
    <xf numFmtId="0" fontId="63" fillId="0" borderId="4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/>
    </xf>
    <xf numFmtId="0" fontId="63" fillId="0" borderId="112" applyAlignment="1" pivotButton="0" quotePrefix="0" xfId="0">
      <alignment horizontal="center" vertical="center"/>
    </xf>
    <xf numFmtId="0" fontId="63" fillId="0" borderId="5" applyAlignment="1" pivotButton="0" quotePrefix="0" xfId="0">
      <alignment horizontal="center" vertical="center"/>
    </xf>
    <xf numFmtId="0" fontId="63" fillId="0" borderId="48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3" fillId="0" borderId="51" applyAlignment="1" pivotButton="0" quotePrefix="0" xfId="0">
      <alignment horizontal="center" vertical="center"/>
    </xf>
    <xf numFmtId="0" fontId="63" fillId="0" borderId="27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63" fillId="0" borderId="11" applyAlignment="1" pivotButton="0" quotePrefix="0" xfId="0">
      <alignment horizontal="center" vertical="center"/>
    </xf>
    <xf numFmtId="0" fontId="4" fillId="0" borderId="11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5" borderId="71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38" applyAlignment="1" pivotButton="0" quotePrefix="0" xfId="0">
      <alignment vertical="center"/>
    </xf>
    <xf numFmtId="0" fontId="4" fillId="0" borderId="55" applyAlignment="1" pivotButton="0" quotePrefix="0" xfId="0">
      <alignment vertical="center"/>
    </xf>
    <xf numFmtId="0" fontId="4" fillId="0" borderId="117" applyAlignment="1" pivotButton="0" quotePrefix="0" xfId="0">
      <alignment horizontal="center" vertical="center"/>
    </xf>
    <xf numFmtId="0" fontId="4" fillId="0" borderId="64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63" fillId="0" borderId="21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0" fontId="4" fillId="0" borderId="58" applyAlignment="1" pivotButton="0" quotePrefix="0" xfId="0">
      <alignment vertical="center"/>
    </xf>
    <xf numFmtId="0" fontId="4" fillId="0" borderId="58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63" fillId="0" borderId="63" applyAlignment="1" pivotButton="0" quotePrefix="0" xfId="0">
      <alignment horizontal="center" vertical="center"/>
    </xf>
    <xf numFmtId="0" fontId="63" fillId="0" borderId="61" applyAlignment="1" pivotButton="0" quotePrefix="0" xfId="0">
      <alignment horizontal="center" vertical="center"/>
    </xf>
    <xf numFmtId="0" fontId="63" fillId="0" borderId="32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/>
    </xf>
    <xf numFmtId="2" fontId="4" fillId="0" borderId="48" applyAlignment="1" pivotButton="0" quotePrefix="0" xfId="0">
      <alignment horizontal="center" vertical="center"/>
    </xf>
    <xf numFmtId="2" fontId="4" fillId="0" borderId="50" applyAlignment="1" pivotButton="0" quotePrefix="0" xfId="0">
      <alignment horizontal="center" vertical="center"/>
    </xf>
    <xf numFmtId="2" fontId="4" fillId="0" borderId="55" applyAlignment="1" pivotButton="0" quotePrefix="0" xfId="0">
      <alignment horizontal="center" vertical="center"/>
    </xf>
    <xf numFmtId="2" fontId="4" fillId="0" borderId="66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/>
    </xf>
    <xf numFmtId="14" fontId="4" fillId="0" borderId="13" applyAlignment="1" pivotButton="0" quotePrefix="0" xfId="0">
      <alignment horizontal="center" vertical="center"/>
    </xf>
    <xf numFmtId="14" fontId="4" fillId="0" borderId="36" applyAlignment="1" pivotButton="0" quotePrefix="0" xfId="0">
      <alignment horizontal="center" vertical="center"/>
    </xf>
    <xf numFmtId="1" fontId="63" fillId="0" borderId="28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/>
    </xf>
    <xf numFmtId="0" fontId="65" fillId="0" borderId="37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1" fontId="67" fillId="0" borderId="47" applyAlignment="1" pivotButton="0" quotePrefix="0" xfId="0">
      <alignment horizontal="center" vertical="center"/>
    </xf>
    <xf numFmtId="1" fontId="67" fillId="0" borderId="39" applyAlignment="1" pivotButton="0" quotePrefix="0" xfId="0">
      <alignment horizontal="center" vertical="center"/>
    </xf>
    <xf numFmtId="1" fontId="67" fillId="0" borderId="11" applyAlignment="1" pivotButton="0" quotePrefix="0" xfId="0">
      <alignment horizontal="center" vertical="center"/>
    </xf>
    <xf numFmtId="1" fontId="67" fillId="0" borderId="9" applyAlignment="1" pivotButton="0" quotePrefix="0" xfId="0">
      <alignment horizontal="center" vertical="center"/>
    </xf>
    <xf numFmtId="1" fontId="67" fillId="0" borderId="10" applyAlignment="1" pivotButton="0" quotePrefix="0" xfId="0">
      <alignment horizontal="center" vertical="center"/>
    </xf>
    <xf numFmtId="1" fontId="67" fillId="0" borderId="36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1" fontId="67" fillId="0" borderId="48" applyAlignment="1" pivotButton="0" quotePrefix="0" xfId="0">
      <alignment horizontal="center" vertical="center"/>
    </xf>
    <xf numFmtId="1" fontId="67" fillId="0" borderId="6" applyAlignment="1" pivotButton="0" quotePrefix="0" xfId="0">
      <alignment horizontal="center" vertical="center"/>
    </xf>
    <xf numFmtId="1" fontId="67" fillId="0" borderId="13" applyAlignment="1" pivotButton="0" quotePrefix="0" xfId="0">
      <alignment horizontal="center" vertical="center"/>
    </xf>
    <xf numFmtId="1" fontId="67" fillId="0" borderId="12" applyAlignment="1" pivotButton="0" quotePrefix="0" xfId="0">
      <alignment horizontal="center" vertical="center"/>
    </xf>
    <xf numFmtId="1" fontId="67" fillId="0" borderId="112" applyAlignment="1" pivotButton="0" quotePrefix="0" xfId="0">
      <alignment horizontal="center" vertical="center"/>
    </xf>
    <xf numFmtId="1" fontId="67" fillId="0" borderId="5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15" applyAlignment="1" pivotButton="0" quotePrefix="0" xfId="0">
      <alignment horizontal="center" vertical="center"/>
    </xf>
    <xf numFmtId="1" fontId="67" fillId="0" borderId="49" applyAlignment="1" pivotButton="0" quotePrefix="0" xfId="0">
      <alignment horizontal="center" vertical="center"/>
    </xf>
    <xf numFmtId="1" fontId="67" fillId="0" borderId="116" applyAlignment="1" pivotButton="0" quotePrefix="0" xfId="0">
      <alignment horizontal="center" vertical="center"/>
    </xf>
    <xf numFmtId="1" fontId="67" fillId="0" borderId="16" applyAlignment="1" pivotButton="0" quotePrefix="0" xfId="0">
      <alignment horizontal="center" vertical="center"/>
    </xf>
    <xf numFmtId="1" fontId="67" fillId="0" borderId="14" applyAlignment="1" pivotButton="0" quotePrefix="0" xfId="0">
      <alignment horizontal="center" vertical="center"/>
    </xf>
    <xf numFmtId="1" fontId="67" fillId="0" borderId="15" applyAlignment="1" pivotButton="0" quotePrefix="0" xfId="0">
      <alignment horizontal="center" vertical="center"/>
    </xf>
    <xf numFmtId="1" fontId="67" fillId="0" borderId="115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7" fillId="0" borderId="26" applyAlignment="1" pivotButton="0" quotePrefix="0" xfId="0">
      <alignment horizontal="center" vertical="center"/>
    </xf>
    <xf numFmtId="0" fontId="67" fillId="0" borderId="28" applyAlignment="1" pivotButton="0" quotePrefix="0" xfId="0">
      <alignment horizontal="center" vertical="center"/>
    </xf>
    <xf numFmtId="1" fontId="67" fillId="0" borderId="56" applyAlignment="1" pivotButton="0" quotePrefix="0" xfId="0">
      <alignment horizontal="center" vertical="center"/>
    </xf>
    <xf numFmtId="1" fontId="67" fillId="0" borderId="60" applyAlignment="1" pivotButton="0" quotePrefix="0" xfId="0">
      <alignment horizontal="center" vertical="center"/>
    </xf>
    <xf numFmtId="1" fontId="67" fillId="0" borderId="58" applyAlignment="1" pivotButton="0" quotePrefix="0" xfId="0">
      <alignment horizontal="center" vertical="center"/>
    </xf>
    <xf numFmtId="1" fontId="67" fillId="0" borderId="26" applyAlignment="1" pivotButton="0" quotePrefix="0" xfId="0">
      <alignment horizontal="center" vertical="center"/>
    </xf>
    <xf numFmtId="1" fontId="67" fillId="0" borderId="51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65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1" fontId="67" fillId="0" borderId="44" applyAlignment="1" pivotButton="0" quotePrefix="0" xfId="0">
      <alignment horizontal="center" vertical="center"/>
    </xf>
    <xf numFmtId="1" fontId="67" fillId="0" borderId="57" applyAlignment="1" pivotButton="0" quotePrefix="0" xfId="0">
      <alignment horizontal="center" vertical="center"/>
    </xf>
    <xf numFmtId="0" fontId="65" fillId="0" borderId="55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72" applyAlignment="1" pivotButton="0" quotePrefix="0" xfId="0">
      <alignment horizontal="center" vertical="center"/>
    </xf>
    <xf numFmtId="0" fontId="65" fillId="0" borderId="66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1" fontId="67" fillId="0" borderId="73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1" fontId="67" fillId="0" borderId="22" applyAlignment="1" pivotButton="0" quotePrefix="0" xfId="0">
      <alignment horizontal="center" vertical="center"/>
    </xf>
    <xf numFmtId="1" fontId="67" fillId="0" borderId="8" applyAlignment="1" pivotButton="0" quotePrefix="0" xfId="0">
      <alignment horizontal="center" vertical="center"/>
    </xf>
    <xf numFmtId="1" fontId="67" fillId="0" borderId="62" applyAlignment="1" pivotButton="0" quotePrefix="0" xfId="0">
      <alignment horizontal="center" vertical="center"/>
    </xf>
    <xf numFmtId="0" fontId="65" fillId="0" borderId="8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69" applyAlignment="1" pivotButton="0" quotePrefix="0" xfId="0">
      <alignment horizontal="center" vertical="center"/>
    </xf>
    <xf numFmtId="0" fontId="65" fillId="0" borderId="38" applyAlignment="1" pivotButton="0" quotePrefix="0" xfId="0">
      <alignment horizontal="center" vertical="center"/>
    </xf>
    <xf numFmtId="0" fontId="67" fillId="0" borderId="9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36" applyAlignment="1" pivotButton="0" quotePrefix="0" xfId="0">
      <alignment horizontal="center" vertical="center"/>
    </xf>
    <xf numFmtId="0" fontId="67" fillId="0" borderId="47" applyAlignment="1" pivotButton="0" quotePrefix="0" xfId="0">
      <alignment horizontal="center" vertical="center"/>
    </xf>
    <xf numFmtId="0" fontId="65" fillId="0" borderId="57" applyAlignment="1" pivotButton="0" quotePrefix="0" xfId="0">
      <alignment horizontal="center" vertical="center"/>
    </xf>
    <xf numFmtId="0" fontId="65" fillId="0" borderId="6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/>
    </xf>
    <xf numFmtId="0" fontId="67" fillId="0" borderId="112" applyAlignment="1" pivotButton="0" quotePrefix="0" xfId="0">
      <alignment horizontal="center" vertical="center"/>
    </xf>
    <xf numFmtId="0" fontId="67" fillId="0" borderId="5" applyAlignment="1" pivotButton="0" quotePrefix="0" xfId="0">
      <alignment horizontal="center" vertical="center"/>
    </xf>
    <xf numFmtId="0" fontId="67" fillId="0" borderId="48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1" applyAlignment="1" pivotButton="0" quotePrefix="0" xfId="0">
      <alignment horizontal="center" vertical="center"/>
    </xf>
    <xf numFmtId="0" fontId="65" fillId="0" borderId="48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8" applyAlignment="1" pivotButton="0" quotePrefix="0" xfId="0">
      <alignment horizontal="center" vertical="center"/>
    </xf>
    <xf numFmtId="0" fontId="65" fillId="0" borderId="3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40" applyAlignment="1" pivotButton="0" quotePrefix="0" xfId="0">
      <alignment horizontal="center" vertical="center"/>
    </xf>
    <xf numFmtId="0" fontId="67" fillId="0" borderId="21" applyAlignment="1" pivotButton="0" quotePrefix="0" xfId="0">
      <alignment horizontal="center" vertical="center"/>
    </xf>
    <xf numFmtId="0" fontId="67" fillId="0" borderId="8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47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55" borderId="71" applyAlignment="1" pivotButton="0" quotePrefix="0" xfId="0">
      <alignment vertical="center"/>
    </xf>
    <xf numFmtId="0" fontId="65" fillId="0" borderId="14" applyAlignment="1" pivotButton="0" quotePrefix="0" xfId="0">
      <alignment horizontal="center" vertical="center" wrapText="1"/>
    </xf>
    <xf numFmtId="0" fontId="65" fillId="0" borderId="38" applyAlignment="1" pivotButton="0" quotePrefix="0" xfId="0">
      <alignment vertical="center"/>
    </xf>
    <xf numFmtId="0" fontId="65" fillId="0" borderId="55" applyAlignment="1" pivotButton="0" quotePrefix="0" xfId="0">
      <alignment vertical="center"/>
    </xf>
    <xf numFmtId="0" fontId="65" fillId="0" borderId="64" applyAlignment="1" pivotButton="0" quotePrefix="0" xfId="0">
      <alignment vertical="center"/>
    </xf>
    <xf numFmtId="0" fontId="65" fillId="0" borderId="58" applyAlignment="1" pivotButton="0" quotePrefix="0" xfId="0">
      <alignment vertical="center"/>
    </xf>
    <xf numFmtId="0" fontId="65" fillId="0" borderId="58" applyAlignment="1" pivotButton="0" quotePrefix="0" xfId="0">
      <alignment horizontal="center" vertical="center"/>
    </xf>
    <xf numFmtId="0" fontId="65" fillId="0" borderId="61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2" fontId="67" fillId="0" borderId="6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10" applyAlignment="1" pivotButton="0" quotePrefix="0" xfId="0">
      <alignment horizontal="center" vertical="center"/>
    </xf>
    <xf numFmtId="0" fontId="65" fillId="0" borderId="11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0" fontId="67" fillId="0" borderId="63" applyAlignment="1" pivotButton="0" quotePrefix="0" xfId="0">
      <alignment horizontal="center" vertical="center"/>
    </xf>
    <xf numFmtId="0" fontId="67" fillId="0" borderId="61" applyAlignment="1" pivotButton="0" quotePrefix="0" xfId="0">
      <alignment horizontal="center" vertical="center"/>
    </xf>
    <xf numFmtId="0" fontId="67" fillId="0" borderId="32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65" fillId="0" borderId="19" applyAlignment="1" pivotButton="0" quotePrefix="0" xfId="0">
      <alignment horizontal="center" vertical="center"/>
    </xf>
    <xf numFmtId="0" fontId="65" fillId="0" borderId="27" applyAlignment="1" pivotButton="0" quotePrefix="0" xfId="0">
      <alignment horizontal="center" vertical="center"/>
    </xf>
    <xf numFmtId="0" fontId="65" fillId="0" borderId="46" applyAlignment="1" pivotButton="0" quotePrefix="0" xfId="0">
      <alignment horizontal="center" vertical="center"/>
    </xf>
    <xf numFmtId="0" fontId="65" fillId="0" borderId="45" applyAlignment="1" pivotButton="0" quotePrefix="0" xfId="0">
      <alignment horizontal="center" vertical="center"/>
    </xf>
    <xf numFmtId="0" fontId="65" fillId="0" borderId="42" applyAlignment="1" pivotButton="0" quotePrefix="0" xfId="0">
      <alignment horizontal="center" vertical="center"/>
    </xf>
    <xf numFmtId="0" fontId="65" fillId="0" borderId="7" applyAlignment="1" pivotButton="0" quotePrefix="0" xfId="0">
      <alignment horizontal="center" vertical="center"/>
    </xf>
    <xf numFmtId="0" fontId="65" fillId="0" borderId="41" applyAlignment="1" pivotButton="0" quotePrefix="0" xfId="0">
      <alignment horizontal="center" vertical="center"/>
    </xf>
    <xf numFmtId="0" fontId="67" fillId="0" borderId="51" applyAlignment="1" pivotButton="0" quotePrefix="0" xfId="0">
      <alignment horizontal="center" vertical="center"/>
    </xf>
    <xf numFmtId="0" fontId="67" fillId="0" borderId="27" applyAlignment="1" pivotButton="0" quotePrefix="0" xfId="0">
      <alignment horizontal="center" vertical="center"/>
    </xf>
    <xf numFmtId="16" fontId="65" fillId="0" borderId="11" applyAlignment="1" pivotButton="0" quotePrefix="0" xfId="0">
      <alignment horizontal="center" vertical="center"/>
    </xf>
    <xf numFmtId="16" fontId="65" fillId="0" borderId="13" applyAlignment="1" pivotButton="0" quotePrefix="0" xfId="0">
      <alignment horizontal="center" vertical="center"/>
    </xf>
    <xf numFmtId="16" fontId="65" fillId="0" borderId="115" applyAlignment="1" pivotButton="0" quotePrefix="0" xfId="0">
      <alignment horizontal="center" vertical="center"/>
    </xf>
    <xf numFmtId="16" fontId="65" fillId="0" borderId="36" applyAlignment="1" pivotButton="0" quotePrefix="0" xfId="0">
      <alignment horizontal="center" vertical="center"/>
    </xf>
    <xf numFmtId="0" fontId="61" fillId="0" borderId="39" applyAlignment="1" pivotButton="0" quotePrefix="0" xfId="0">
      <alignment horizontal="center" vertical="center"/>
    </xf>
    <xf numFmtId="0" fontId="61" fillId="0" borderId="6" applyAlignment="1" pivotButton="0" quotePrefix="0" xfId="0">
      <alignment horizontal="center" vertical="center"/>
    </xf>
    <xf numFmtId="0" fontId="63" fillId="0" borderId="39" applyAlignment="1" pivotButton="0" quotePrefix="0" xfId="0">
      <alignment horizontal="center" vertical="center"/>
    </xf>
    <xf numFmtId="0" fontId="63" fillId="0" borderId="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0" fillId="56" borderId="8" pivotButton="0" quotePrefix="0" xfId="0"/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1" fontId="59" fillId="0" borderId="112" applyAlignment="1" pivotButton="0" quotePrefix="0" xfId="0">
      <alignment horizontal="center"/>
    </xf>
    <xf numFmtId="1" fontId="60" fillId="0" borderId="112" applyAlignment="1" pivotButton="0" quotePrefix="0" xfId="0">
      <alignment horizontal="center"/>
    </xf>
    <xf numFmtId="1" fontId="59" fillId="0" borderId="112" applyAlignment="1" pivotButton="0" quotePrefix="0" xfId="0">
      <alignment horizontal="center"/>
    </xf>
    <xf numFmtId="1" fontId="60" fillId="0" borderId="112" applyAlignment="1" pivotButton="0" quotePrefix="0" xfId="0">
      <alignment horizontal="center"/>
    </xf>
    <xf numFmtId="1" fontId="60" fillId="0" borderId="10" applyAlignment="1" pivotButton="0" quotePrefix="0" xfId="0">
      <alignment horizontal="center"/>
    </xf>
    <xf numFmtId="1" fontId="60" fillId="0" borderId="11" applyAlignment="1" pivotButton="0" quotePrefix="0" xfId="0">
      <alignment horizontal="center"/>
    </xf>
    <xf numFmtId="1" fontId="60" fillId="0" borderId="13" applyAlignment="1" pivotButton="0" quotePrefix="0" xfId="0">
      <alignment horizontal="center"/>
    </xf>
    <xf numFmtId="1" fontId="60" fillId="0" borderId="13" applyAlignment="1" pivotButton="0" quotePrefix="0" xfId="0">
      <alignment horizontal="center"/>
    </xf>
    <xf numFmtId="1" fontId="59" fillId="0" borderId="6" applyAlignment="1" pivotButton="0" quotePrefix="0" xfId="0">
      <alignment horizontal="center"/>
    </xf>
    <xf numFmtId="1" fontId="59" fillId="0" borderId="6" applyAlignment="1" pivotButton="0" quotePrefix="0" xfId="0">
      <alignment horizontal="center"/>
    </xf>
    <xf numFmtId="0" fontId="5" fillId="0" borderId="48" applyAlignment="1" pivotButton="0" quotePrefix="0" xfId="0">
      <alignment horizontal="center"/>
    </xf>
    <xf numFmtId="0" fontId="5" fillId="0" borderId="50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1" fontId="59" fillId="0" borderId="42" applyAlignment="1" pivotButton="0" quotePrefix="0" xfId="0">
      <alignment horizontal="center"/>
    </xf>
    <xf numFmtId="1" fontId="59" fillId="0" borderId="7" applyAlignment="1" pivotButton="0" quotePrefix="0" xfId="0">
      <alignment horizontal="center"/>
    </xf>
    <xf numFmtId="1" fontId="60" fillId="0" borderId="7" applyAlignment="1" pivotButton="0" quotePrefix="0" xfId="0">
      <alignment horizontal="center"/>
    </xf>
    <xf numFmtId="1" fontId="60" fillId="0" borderId="45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" fontId="60" fillId="0" borderId="18" applyAlignment="1" pivotButton="0" quotePrefix="0" xfId="0">
      <alignment horizontal="center"/>
    </xf>
    <xf numFmtId="1" fontId="60" fillId="0" borderId="19" applyAlignment="1" pivotButton="0" quotePrefix="0" xfId="0">
      <alignment horizontal="center"/>
    </xf>
    <xf numFmtId="1" fontId="60" fillId="0" borderId="27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1" fontId="63" fillId="0" borderId="66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1" fontId="6" fillId="0" borderId="66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63" fillId="0" borderId="50" applyAlignment="1" pivotButton="0" quotePrefix="0" xfId="0">
      <alignment horizontal="center" vertical="center"/>
    </xf>
    <xf numFmtId="1" fontId="63" fillId="0" borderId="50" applyAlignment="1" pivotButton="0" quotePrefix="0" xfId="0">
      <alignment horizontal="center" vertical="center"/>
    </xf>
    <xf numFmtId="0" fontId="6" fillId="55" borderId="67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3" fillId="55" borderId="8" applyAlignment="1" pivotButton="0" quotePrefix="0" xfId="0">
      <alignment horizontal="center" vertical="center" wrapText="1"/>
    </xf>
    <xf numFmtId="1" fontId="59" fillId="0" borderId="116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5" fillId="0" borderId="43" applyAlignment="1" pivotButton="0" quotePrefix="0" xfId="0">
      <alignment horizontal="center" vertical="center"/>
    </xf>
    <xf numFmtId="0" fontId="69" fillId="0" borderId="36" applyAlignment="1" pivotButton="0" quotePrefix="0" xfId="0">
      <alignment horizontal="center" vertical="center"/>
    </xf>
    <xf numFmtId="2" fontId="70" fillId="0" borderId="119" applyAlignment="1" pivotButton="0" quotePrefix="0" xfId="0">
      <alignment horizontal="center" vertical="top" wrapText="1"/>
    </xf>
    <xf numFmtId="2" fontId="70" fillId="0" borderId="34" applyAlignment="1" pivotButton="0" quotePrefix="0" xfId="0">
      <alignment horizontal="center" vertical="top" wrapText="1"/>
    </xf>
    <xf numFmtId="2" fontId="70" fillId="0" borderId="120" applyAlignment="1" pivotButton="0" quotePrefix="0" xfId="0">
      <alignment horizontal="center" vertical="top" wrapText="1"/>
    </xf>
    <xf numFmtId="2" fontId="70" fillId="0" borderId="121" applyAlignment="1" pivotButton="0" quotePrefix="0" xfId="0">
      <alignment horizontal="center" vertical="top" wrapText="1"/>
    </xf>
    <xf numFmtId="2" fontId="59" fillId="0" borderId="21" applyAlignment="1" pivotButton="0" quotePrefix="0" xfId="0">
      <alignment horizontal="center" vertical="center"/>
    </xf>
    <xf numFmtId="2" fontId="71" fillId="0" borderId="122" applyAlignment="1" pivotButton="0" quotePrefix="0" xfId="0">
      <alignment horizontal="center" vertical="top" wrapText="1"/>
    </xf>
    <xf numFmtId="2" fontId="71" fillId="0" borderId="123" applyAlignment="1" pivotButton="0" quotePrefix="0" xfId="0">
      <alignment horizontal="center" vertical="top" wrapText="1"/>
    </xf>
    <xf numFmtId="0" fontId="59" fillId="0" borderId="21" applyAlignment="1" pivotButton="0" quotePrefix="0" xfId="0">
      <alignment horizontal="center" vertical="center"/>
    </xf>
    <xf numFmtId="0" fontId="59" fillId="0" borderId="23" applyAlignment="1" pivotButton="0" quotePrefix="0" xfId="0">
      <alignment horizontal="center" vertical="center"/>
    </xf>
    <xf numFmtId="2" fontId="63" fillId="0" borderId="26" applyAlignment="1" pivotButton="0" quotePrefix="0" xfId="0">
      <alignment horizontal="center"/>
    </xf>
    <xf numFmtId="2" fontId="63" fillId="0" borderId="28" applyAlignment="1" pivotButton="0" quotePrefix="0" xfId="0">
      <alignment horizontal="center"/>
    </xf>
    <xf numFmtId="2" fontId="4" fillId="0" borderId="23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7" fillId="0" borderId="39" applyAlignment="1" pivotButton="0" quotePrefix="0" xfId="0">
      <alignment horizontal="center" vertical="center"/>
    </xf>
    <xf numFmtId="0" fontId="67" fillId="0" borderId="11" applyAlignment="1" pivotButton="0" quotePrefix="0" xfId="0">
      <alignment horizontal="center" vertical="center"/>
    </xf>
    <xf numFmtId="0" fontId="67" fillId="0" borderId="6" applyAlignment="1" pivotButton="0" quotePrefix="0" xfId="0">
      <alignment horizontal="center" vertical="center"/>
    </xf>
    <xf numFmtId="0" fontId="67" fillId="0" borderId="13" applyAlignment="1" pivotButton="0" quotePrefix="0" xfId="0">
      <alignment horizontal="center" vertical="center"/>
    </xf>
    <xf numFmtId="0" fontId="67" fillId="55" borderId="8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5" fillId="55" borderId="21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7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1" fontId="67" fillId="0" borderId="24" applyAlignment="1" pivotButton="0" quotePrefix="0" xfId="0">
      <alignment horizontal="center" vertical="center"/>
    </xf>
    <xf numFmtId="1" fontId="67" fillId="0" borderId="28" applyAlignment="1" pivotButton="0" quotePrefix="0" xfId="0">
      <alignment horizontal="center" vertical="center"/>
    </xf>
    <xf numFmtId="0" fontId="67" fillId="0" borderId="55" applyAlignment="1" pivotButton="0" quotePrefix="0" xfId="0">
      <alignment horizontal="center" vertical="center"/>
    </xf>
    <xf numFmtId="1" fontId="67" fillId="0" borderId="66" applyAlignment="1" pivotButton="0" quotePrefix="0" xfId="0">
      <alignment horizontal="center" vertical="center"/>
    </xf>
    <xf numFmtId="0" fontId="67" fillId="0" borderId="50" applyAlignment="1" pivotButton="0" quotePrefix="0" xfId="0">
      <alignment horizontal="center" vertical="center"/>
    </xf>
    <xf numFmtId="1" fontId="67" fillId="0" borderId="38" applyAlignment="1" pivotButton="0" quotePrefix="0" xfId="0">
      <alignment horizontal="center" vertical="center"/>
    </xf>
    <xf numFmtId="1" fontId="67" fillId="0" borderId="55" applyAlignment="1" pivotButton="0" quotePrefix="0" xfId="0">
      <alignment horizontal="center" vertical="center"/>
    </xf>
    <xf numFmtId="1" fontId="67" fillId="0" borderId="64" applyAlignment="1" pivotButton="0" quotePrefix="0" xfId="0">
      <alignment horizontal="center" vertical="center"/>
    </xf>
    <xf numFmtId="14" fontId="4" fillId="0" borderId="5" applyAlignment="1" pivotButton="0" quotePrefix="0" xfId="0">
      <alignment horizontal="center" vertical="center"/>
    </xf>
    <xf numFmtId="2" fontId="65" fillId="0" borderId="12" applyAlignment="1" pivotButton="0" quotePrefix="0" xfId="0">
      <alignment horizontal="center" vertical="center"/>
    </xf>
    <xf numFmtId="2" fontId="65" fillId="0" borderId="55" applyAlignment="1" pivotButton="0" quotePrefix="0" xfId="0">
      <alignment horizontal="center" vertical="center"/>
    </xf>
    <xf numFmtId="2" fontId="65" fillId="0" borderId="48" applyAlignment="1" pivotButton="0" quotePrefix="0" xfId="0">
      <alignment horizontal="center" vertical="center"/>
    </xf>
    <xf numFmtId="2" fontId="65" fillId="0" borderId="66" applyAlignment="1" pivotButton="0" quotePrefix="0" xfId="0">
      <alignment horizontal="center" vertical="center"/>
    </xf>
    <xf numFmtId="2" fontId="65" fillId="0" borderId="5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6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/>
    </xf>
    <xf numFmtId="0" fontId="3" fillId="0" borderId="124" applyAlignment="1" pivotButton="0" quotePrefix="0" xfId="0">
      <alignment horizontal="center" vertical="center"/>
    </xf>
    <xf numFmtId="0" fontId="73" fillId="0" borderId="4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4" fontId="3" fillId="0" borderId="11" applyAlignment="1" pivotButton="0" quotePrefix="0" xfId="0">
      <alignment horizontal="center" vertical="center"/>
    </xf>
    <xf numFmtId="14" fontId="3" fillId="0" borderId="13" applyAlignment="1" pivotButton="0" quotePrefix="0" xfId="0">
      <alignment horizontal="center" vertical="center"/>
    </xf>
    <xf numFmtId="14" fontId="3" fillId="0" borderId="16" applyAlignment="1" pivotButton="0" quotePrefix="0" xfId="0">
      <alignment horizontal="center" vertical="center"/>
    </xf>
    <xf numFmtId="14" fontId="3" fillId="0" borderId="36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14" fontId="3" fillId="0" borderId="115" applyAlignment="1" pivotButton="0" quotePrefix="0" xfId="0">
      <alignment horizontal="center" vertical="center"/>
    </xf>
    <xf numFmtId="2" fontId="65" fillId="0" borderId="9" applyAlignment="1" pivotButton="0" quotePrefix="0" xfId="0">
      <alignment horizontal="center" vertical="center"/>
    </xf>
    <xf numFmtId="2" fontId="65" fillId="0" borderId="11" applyAlignment="1" pivotButton="0" quotePrefix="0" xfId="0">
      <alignment horizontal="center" vertical="center"/>
    </xf>
    <xf numFmtId="2" fontId="65" fillId="0" borderId="13" applyAlignment="1" pivotButton="0" quotePrefix="0" xfId="0">
      <alignment horizontal="center" vertical="center"/>
    </xf>
    <xf numFmtId="2" fontId="65" fillId="0" borderId="17" applyAlignment="1" pivotButton="0" quotePrefix="0" xfId="0">
      <alignment horizontal="center" vertical="center"/>
    </xf>
    <xf numFmtId="2" fontId="65" fillId="0" borderId="19" applyAlignment="1" pivotButton="0" quotePrefix="0" xfId="0">
      <alignment horizontal="center" vertical="center"/>
    </xf>
    <xf numFmtId="2" fontId="67" fillId="0" borderId="21" applyAlignment="1" pivotButton="0" quotePrefix="0" xfId="0">
      <alignment horizontal="center" vertical="center"/>
    </xf>
    <xf numFmtId="2" fontId="67" fillId="0" borderId="8" applyAlignment="1" pivotButton="0" quotePrefix="0" xfId="0">
      <alignment horizontal="center" vertical="center"/>
    </xf>
    <xf numFmtId="2" fontId="65" fillId="55" borderId="21" applyAlignment="1" pivotButton="0" quotePrefix="0" xfId="0">
      <alignment horizontal="center" vertical="center"/>
    </xf>
    <xf numFmtId="2" fontId="65" fillId="0" borderId="8" applyAlignment="1" pivotButton="0" quotePrefix="0" xfId="0">
      <alignment horizontal="center" vertical="center"/>
    </xf>
    <xf numFmtId="1" fontId="67" fillId="0" borderId="43" applyAlignment="1" pivotButton="0" quotePrefix="0" xfId="0">
      <alignment horizontal="center" vertical="center"/>
    </xf>
    <xf numFmtId="1" fontId="67" fillId="0" borderId="45" applyAlignment="1" pivotButton="0" quotePrefix="0" xfId="0">
      <alignment horizontal="center" vertical="center"/>
    </xf>
    <xf numFmtId="1" fontId="67" fillId="0" borderId="118" applyAlignment="1" pivotButton="0" quotePrefix="0" xfId="0">
      <alignment horizontal="center" vertical="center"/>
    </xf>
    <xf numFmtId="1" fontId="67" fillId="0" borderId="54" applyAlignment="1" pivotButton="0" quotePrefix="0" xfId="0">
      <alignment horizontal="center" vertical="center"/>
    </xf>
    <xf numFmtId="1" fontId="67" fillId="0" borderId="7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60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/>
    </xf>
    <xf numFmtId="0" fontId="63" fillId="0" borderId="13" applyAlignment="1" pivotButton="0" quotePrefix="0" xfId="0">
      <alignment horizontal="center" vertical="center"/>
    </xf>
    <xf numFmtId="1" fontId="63" fillId="0" borderId="26" applyAlignment="1" pivotButton="0" quotePrefix="0" xfId="0">
      <alignment horizontal="center" vertical="center"/>
    </xf>
    <xf numFmtId="1" fontId="63" fillId="0" borderId="24" applyAlignment="1" pivotButton="0" quotePrefix="0" xfId="0">
      <alignment horizontal="center" vertical="center"/>
    </xf>
    <xf numFmtId="2" fontId="4" fillId="0" borderId="17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1" fontId="67" fillId="0" borderId="29" applyAlignment="1" pivotButton="0" quotePrefix="0" xfId="0">
      <alignment horizontal="center" vertical="center"/>
    </xf>
    <xf numFmtId="1" fontId="67" fillId="0" borderId="31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31" applyAlignment="1" pivotButton="0" quotePrefix="0" xfId="0">
      <alignment horizontal="center" vertical="center"/>
    </xf>
    <xf numFmtId="0" fontId="65" fillId="0" borderId="29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 wrapText="1"/>
    </xf>
    <xf numFmtId="0" fontId="67" fillId="0" borderId="16" applyAlignment="1" pivotButton="0" quotePrefix="0" xfId="0">
      <alignment horizontal="center" vertical="center"/>
    </xf>
    <xf numFmtId="1" fontId="67" fillId="0" borderId="0" applyAlignment="1" pivotButton="0" quotePrefix="0" xfId="0">
      <alignment horizontal="center" vertical="center"/>
    </xf>
    <xf numFmtId="0" fontId="67" fillId="0" borderId="29" applyAlignment="1" pivotButton="0" quotePrefix="0" xfId="0">
      <alignment horizontal="center" vertical="center"/>
    </xf>
    <xf numFmtId="1" fontId="67" fillId="0" borderId="70" applyAlignment="1" pivotButton="0" quotePrefix="0" xfId="0">
      <alignment horizontal="center" vertical="center"/>
    </xf>
    <xf numFmtId="1" fontId="67" fillId="0" borderId="71" applyAlignment="1" pivotButton="0" quotePrefix="0" xfId="0">
      <alignment horizontal="center" vertical="center"/>
    </xf>
    <xf numFmtId="1" fontId="67" fillId="0" borderId="114" applyAlignment="1" pivotButton="0" quotePrefix="0" xfId="0">
      <alignment horizontal="center" vertical="center"/>
    </xf>
    <xf numFmtId="1" fontId="67" fillId="0" borderId="34" applyAlignment="1" pivotButton="0" quotePrefix="0" xfId="0">
      <alignment horizontal="center" vertical="center"/>
    </xf>
    <xf numFmtId="16" fontId="4" fillId="0" borderId="11" applyAlignment="1" pivotButton="0" quotePrefix="0" xfId="0">
      <alignment horizontal="center" vertical="center"/>
    </xf>
    <xf numFmtId="16" fontId="4" fillId="0" borderId="13" applyAlignment="1" pivotButton="0" quotePrefix="0" xfId="0">
      <alignment horizontal="center" vertical="center"/>
    </xf>
    <xf numFmtId="16" fontId="4" fillId="0" borderId="36" applyAlignment="1" pivotButton="0" quotePrefix="0" xfId="0">
      <alignment horizontal="center" vertical="center"/>
    </xf>
    <xf numFmtId="16" fontId="4" fillId="0" borderId="115" applyAlignment="1" pivotButton="0" quotePrefix="0" xfId="0">
      <alignment horizontal="center" vertical="center"/>
    </xf>
    <xf numFmtId="16" fontId="4" fillId="0" borderId="5" applyAlignment="1" pivotButton="0" quotePrefix="0" xfId="0">
      <alignment horizontal="center" vertical="center"/>
    </xf>
    <xf numFmtId="2" fontId="4" fillId="0" borderId="9" applyAlignment="1" pivotButton="0" quotePrefix="0" xfId="0">
      <alignment horizontal="center" vertical="center"/>
    </xf>
    <xf numFmtId="2" fontId="4" fillId="0" borderId="12" applyAlignment="1" pivotButton="0" quotePrefix="0" xfId="0">
      <alignment horizontal="center" vertical="center"/>
    </xf>
    <xf numFmtId="2" fontId="63" fillId="0" borderId="21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2" fontId="4" fillId="0" borderId="13" applyAlignment="1" pivotButton="0" quotePrefix="0" xfId="0">
      <alignment horizontal="center" vertical="center"/>
    </xf>
    <xf numFmtId="2" fontId="4" fillId="0" borderId="19" applyAlignment="1" pivotButton="0" quotePrefix="0" xfId="0">
      <alignment horizontal="center" vertical="center"/>
    </xf>
    <xf numFmtId="2" fontId="63" fillId="0" borderId="8" applyAlignment="1" pivotButton="0" quotePrefix="0" xfId="0">
      <alignment horizontal="center" vertical="center"/>
    </xf>
    <xf numFmtId="2" fontId="4" fillId="0" borderId="8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112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" fontId="63" fillId="0" borderId="29" applyAlignment="1" pivotButton="0" quotePrefix="0" xfId="0">
      <alignment horizontal="center" vertical="center"/>
    </xf>
    <xf numFmtId="1" fontId="63" fillId="0" borderId="3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 wrapText="1"/>
    </xf>
    <xf numFmtId="1" fontId="67" fillId="0" borderId="47" applyAlignment="1" pivotButton="0" quotePrefix="0" xfId="0">
      <alignment horizontal="center" vertical="center" wrapText="1"/>
    </xf>
    <xf numFmtId="1" fontId="67" fillId="0" borderId="39" applyAlignment="1" pivotButton="0" quotePrefix="0" xfId="0">
      <alignment horizontal="center" vertical="center" wrapText="1"/>
    </xf>
    <xf numFmtId="1" fontId="67" fillId="0" borderId="11" applyAlignment="1" pivotButton="0" quotePrefix="0" xfId="0">
      <alignment horizontal="center" vertical="center" wrapText="1"/>
    </xf>
    <xf numFmtId="1" fontId="67" fillId="0" borderId="9" applyAlignment="1" pivotButton="0" quotePrefix="0" xfId="0">
      <alignment horizontal="center" vertical="center" wrapText="1"/>
    </xf>
    <xf numFmtId="1" fontId="67" fillId="0" borderId="10" applyAlignment="1" pivotButton="0" quotePrefix="0" xfId="0">
      <alignment horizontal="center" vertical="center" wrapText="1"/>
    </xf>
    <xf numFmtId="1" fontId="67" fillId="0" borderId="36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5" fillId="0" borderId="5" applyAlignment="1" pivotButton="0" quotePrefix="0" xfId="0">
      <alignment horizontal="center" vertical="center" wrapText="1"/>
    </xf>
    <xf numFmtId="1" fontId="67" fillId="0" borderId="48" applyAlignment="1" pivotButton="0" quotePrefix="0" xfId="0">
      <alignment horizontal="center" vertical="center" wrapText="1"/>
    </xf>
    <xf numFmtId="1" fontId="67" fillId="0" borderId="6" applyAlignment="1" pivotButton="0" quotePrefix="0" xfId="0">
      <alignment horizontal="center" vertical="center" wrapText="1"/>
    </xf>
    <xf numFmtId="1" fontId="67" fillId="0" borderId="13" applyAlignment="1" pivotButton="0" quotePrefix="0" xfId="0">
      <alignment horizontal="center" vertical="center" wrapText="1"/>
    </xf>
    <xf numFmtId="1" fontId="67" fillId="0" borderId="12" applyAlignment="1" pivotButton="0" quotePrefix="0" xfId="0">
      <alignment horizontal="center" vertical="center" wrapText="1"/>
    </xf>
    <xf numFmtId="1" fontId="67" fillId="0" borderId="112" applyAlignment="1" pivotButton="0" quotePrefix="0" xfId="0">
      <alignment horizontal="center" vertical="center" wrapText="1"/>
    </xf>
    <xf numFmtId="1" fontId="67" fillId="0" borderId="5" applyAlignment="1" pivotButton="0" quotePrefix="0" xfId="0">
      <alignment horizontal="center" vertical="center" wrapText="1"/>
    </xf>
    <xf numFmtId="0" fontId="65" fillId="0" borderId="115" applyAlignment="1" pivotButton="0" quotePrefix="0" xfId="0">
      <alignment horizontal="center" vertical="center" wrapText="1"/>
    </xf>
    <xf numFmtId="1" fontId="67" fillId="0" borderId="49" applyAlignment="1" pivotButton="0" quotePrefix="0" xfId="0">
      <alignment horizontal="center" vertical="center" wrapText="1"/>
    </xf>
    <xf numFmtId="1" fontId="67" fillId="0" borderId="116" applyAlignment="1" pivotButton="0" quotePrefix="0" xfId="0">
      <alignment horizontal="center" vertical="center" wrapText="1"/>
    </xf>
    <xf numFmtId="1" fontId="67" fillId="0" borderId="16" applyAlignment="1" pivotButton="0" quotePrefix="0" xfId="0">
      <alignment horizontal="center" vertical="center" wrapText="1"/>
    </xf>
    <xf numFmtId="1" fontId="67" fillId="0" borderId="14" applyAlignment="1" pivotButton="0" quotePrefix="0" xfId="0">
      <alignment horizontal="center" vertical="center" wrapText="1"/>
    </xf>
    <xf numFmtId="1" fontId="67" fillId="0" borderId="15" applyAlignment="1" pivotButton="0" quotePrefix="0" xfId="0">
      <alignment horizontal="center" vertical="center" wrapText="1"/>
    </xf>
    <xf numFmtId="1" fontId="67" fillId="0" borderId="115" applyAlignment="1" pivotButton="0" quotePrefix="0" xfId="0">
      <alignment horizontal="center" vertical="center" wrapText="1"/>
    </xf>
    <xf numFmtId="0" fontId="65" fillId="0" borderId="26" applyAlignment="1" pivotButton="0" quotePrefix="0" xfId="0">
      <alignment horizontal="center" vertical="center" wrapText="1"/>
    </xf>
    <xf numFmtId="0" fontId="65" fillId="0" borderId="28" applyAlignment="1" pivotButton="0" quotePrefix="0" xfId="0">
      <alignment horizontal="center" vertical="center" wrapText="1"/>
    </xf>
    <xf numFmtId="1" fontId="67" fillId="0" borderId="62" applyAlignment="1" pivotButton="0" quotePrefix="0" xfId="0">
      <alignment horizontal="center" vertical="center" wrapText="1"/>
    </xf>
    <xf numFmtId="0" fontId="67" fillId="0" borderId="26" applyAlignment="1" pivotButton="0" quotePrefix="0" xfId="0">
      <alignment horizontal="center" vertical="center" wrapText="1"/>
    </xf>
    <xf numFmtId="1" fontId="67" fillId="0" borderId="28" applyAlignment="1" pivotButton="0" quotePrefix="0" xfId="0">
      <alignment horizontal="center" vertical="center" wrapText="1"/>
    </xf>
    <xf numFmtId="1" fontId="67" fillId="0" borderId="56" applyAlignment="1" pivotButton="0" quotePrefix="0" xfId="0">
      <alignment horizontal="center" vertical="center" wrapText="1"/>
    </xf>
    <xf numFmtId="1" fontId="67" fillId="0" borderId="60" applyAlignment="1" pivotButton="0" quotePrefix="0" xfId="0">
      <alignment horizontal="center" vertical="center" wrapText="1"/>
    </xf>
    <xf numFmtId="1" fontId="67" fillId="0" borderId="58" applyAlignment="1" pivotButton="0" quotePrefix="0" xfId="0">
      <alignment horizontal="center" vertical="center" wrapText="1"/>
    </xf>
    <xf numFmtId="1" fontId="67" fillId="0" borderId="26" applyAlignment="1" pivotButton="0" quotePrefix="0" xfId="0">
      <alignment horizontal="center" vertical="center" wrapText="1"/>
    </xf>
    <xf numFmtId="1" fontId="67" fillId="0" borderId="51" applyAlignment="1" pivotButton="0" quotePrefix="0" xfId="0">
      <alignment horizontal="center" vertical="center" wrapText="1"/>
    </xf>
    <xf numFmtId="1" fontId="67" fillId="0" borderId="23" applyAlignment="1" pivotButton="0" quotePrefix="0" xfId="0">
      <alignment horizontal="center" vertical="center" wrapText="1"/>
    </xf>
    <xf numFmtId="1" fontId="67" fillId="0" borderId="44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1" fontId="67" fillId="0" borderId="72" applyAlignment="1" pivotButton="0" quotePrefix="0" xfId="0">
      <alignment horizontal="center" vertical="center" wrapText="1"/>
    </xf>
    <xf numFmtId="0" fontId="65" fillId="0" borderId="16" applyAlignment="1" pivotButton="0" quotePrefix="0" xfId="0">
      <alignment horizontal="center" vertical="center" wrapText="1"/>
    </xf>
    <xf numFmtId="1" fontId="67" fillId="0" borderId="73" applyAlignment="1" pivotButton="0" quotePrefix="0" xfId="0">
      <alignment horizontal="center" vertical="center" wrapText="1"/>
    </xf>
    <xf numFmtId="1" fontId="67" fillId="0" borderId="22" applyAlignment="1" pivotButton="0" quotePrefix="0" xfId="0">
      <alignment horizontal="center" vertical="center" wrapText="1"/>
    </xf>
    <xf numFmtId="1" fontId="67" fillId="0" borderId="8" applyAlignment="1" pivotButton="0" quotePrefix="0" xfId="0">
      <alignment horizontal="center" vertical="center" wrapText="1"/>
    </xf>
    <xf numFmtId="0" fontId="65" fillId="0" borderId="38" applyAlignment="1" pivotButton="0" quotePrefix="0" xfId="0">
      <alignment horizontal="center" vertical="center" wrapText="1"/>
    </xf>
    <xf numFmtId="0" fontId="73" fillId="0" borderId="47" applyAlignment="1" pivotButton="0" quotePrefix="0" xfId="0">
      <alignment horizontal="center" vertical="center" wrapText="1"/>
    </xf>
    <xf numFmtId="0" fontId="65" fillId="0" borderId="55" applyAlignment="1" pivotButton="0" quotePrefix="0" xfId="0">
      <alignment horizontal="center" vertical="center" wrapText="1"/>
    </xf>
    <xf numFmtId="0" fontId="65" fillId="0" borderId="48" applyAlignment="1" pivotButton="0" quotePrefix="0" xfId="0">
      <alignment horizontal="center" vertical="center" wrapText="1"/>
    </xf>
    <xf numFmtId="0" fontId="67" fillId="0" borderId="55" applyAlignment="1" pivotButton="0" quotePrefix="0" xfId="0">
      <alignment horizontal="center" vertical="center" wrapText="1"/>
    </xf>
    <xf numFmtId="0" fontId="67" fillId="0" borderId="48" applyAlignment="1" pivotButton="0" quotePrefix="0" xfId="0">
      <alignment horizontal="center" vertical="center" wrapText="1"/>
    </xf>
    <xf numFmtId="1" fontId="67" fillId="0" borderId="66" applyAlignment="1" pivotButton="0" quotePrefix="0" xfId="0">
      <alignment horizontal="center" vertical="center" wrapText="1"/>
    </xf>
    <xf numFmtId="0" fontId="67" fillId="0" borderId="50" applyAlignment="1" pivotButton="0" quotePrefix="0" xfId="0">
      <alignment horizontal="center" vertical="center" wrapText="1"/>
    </xf>
    <xf numFmtId="0" fontId="67" fillId="0" borderId="39" applyAlignment="1" pivotButton="0" quotePrefix="0" xfId="0">
      <alignment horizontal="center" vertical="center" wrapText="1"/>
    </xf>
    <xf numFmtId="0" fontId="67" fillId="0" borderId="11" applyAlignment="1" pivotButton="0" quotePrefix="0" xfId="0">
      <alignment horizontal="center" vertical="center" wrapText="1"/>
    </xf>
    <xf numFmtId="0" fontId="67" fillId="0" borderId="6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7" fillId="0" borderId="40" applyAlignment="1" pivotButton="0" quotePrefix="0" xfId="0">
      <alignment horizontal="center" vertical="center" wrapText="1"/>
    </xf>
    <xf numFmtId="0" fontId="67" fillId="0" borderId="19" applyAlignment="1" pivotButton="0" quotePrefix="0" xfId="0">
      <alignment horizontal="center" vertical="center" wrapText="1"/>
    </xf>
    <xf numFmtId="0" fontId="67" fillId="0" borderId="28" applyAlignment="1" pivotButton="0" quotePrefix="0" xfId="0">
      <alignment horizontal="center" vertical="center" wrapText="1"/>
    </xf>
    <xf numFmtId="0" fontId="67" fillId="0" borderId="21" applyAlignment="1" pivotButton="0" quotePrefix="0" xfId="0">
      <alignment horizontal="center" vertical="center" wrapText="1"/>
    </xf>
    <xf numFmtId="0" fontId="65" fillId="55" borderId="21" applyAlignment="1" pivotButton="0" quotePrefix="0" xfId="0">
      <alignment horizontal="center" vertical="center" wrapText="1"/>
    </xf>
    <xf numFmtId="0" fontId="65" fillId="0" borderId="43" applyAlignment="1" pivotButton="0" quotePrefix="0" xfId="0">
      <alignment horizontal="center" vertical="center" wrapText="1"/>
    </xf>
    <xf numFmtId="0" fontId="65" fillId="0" borderId="45" applyAlignment="1" pivotButton="0" quotePrefix="0" xfId="0">
      <alignment horizontal="center" vertical="center" wrapText="1"/>
    </xf>
    <xf numFmtId="1" fontId="67" fillId="0" borderId="43" applyAlignment="1" pivotButton="0" quotePrefix="0" xfId="0">
      <alignment horizontal="center" vertical="center" wrapText="1"/>
    </xf>
    <xf numFmtId="1" fontId="67" fillId="0" borderId="45" applyAlignment="1" pivotButton="0" quotePrefix="0" xfId="0">
      <alignment horizontal="center" vertical="center" wrapText="1"/>
    </xf>
    <xf numFmtId="1" fontId="67" fillId="0" borderId="118" applyAlignment="1" pivotButton="0" quotePrefix="0" xfId="0">
      <alignment horizontal="center" vertical="center" wrapText="1"/>
    </xf>
    <xf numFmtId="1" fontId="67" fillId="0" borderId="54" applyAlignment="1" pivotButton="0" quotePrefix="0" xfId="0">
      <alignment horizontal="center" vertical="center" wrapText="1"/>
    </xf>
    <xf numFmtId="1" fontId="67" fillId="0" borderId="7" applyAlignment="1" pivotButton="0" quotePrefix="0" xfId="0">
      <alignment horizontal="center" vertical="center" wrapText="1"/>
    </xf>
    <xf numFmtId="0" fontId="3" fillId="0" borderId="1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 wrapText="1"/>
    </xf>
    <xf numFmtId="14" fontId="3" fillId="0" borderId="112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14" fontId="3" fillId="0" borderId="10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14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vertical="center"/>
    </xf>
    <xf numFmtId="14" fontId="3" fillId="0" borderId="28" applyAlignment="1" pivotButton="0" quotePrefix="0" xfId="0">
      <alignment horizontal="center" vertical="center"/>
    </xf>
    <xf numFmtId="2" fontId="65" fillId="0" borderId="55" applyAlignment="1" pivotButton="0" quotePrefix="0" xfId="0">
      <alignment horizontal="center" vertical="center" wrapText="1"/>
    </xf>
    <xf numFmtId="2" fontId="65" fillId="0" borderId="48" applyAlignment="1" pivotButton="0" quotePrefix="0" xfId="0">
      <alignment horizontal="center" vertical="center" wrapText="1"/>
    </xf>
    <xf numFmtId="2" fontId="65" fillId="0" borderId="66" applyAlignment="1" pivotButton="0" quotePrefix="0" xfId="0">
      <alignment horizontal="center" vertical="center" wrapText="1"/>
    </xf>
    <xf numFmtId="2" fontId="65" fillId="0" borderId="50" applyAlignment="1" pivotButton="0" quotePrefix="0" xfId="0">
      <alignment horizontal="center" vertical="center" wrapText="1"/>
    </xf>
    <xf numFmtId="2" fontId="65" fillId="0" borderId="9" applyAlignment="1" pivotButton="0" quotePrefix="0" xfId="0">
      <alignment horizontal="center" vertical="center" wrapText="1"/>
    </xf>
    <xf numFmtId="2" fontId="65" fillId="0" borderId="11" applyAlignment="1" pivotButton="0" quotePrefix="0" xfId="0">
      <alignment horizontal="center" vertical="center" wrapText="1"/>
    </xf>
    <xf numFmtId="2" fontId="65" fillId="0" borderId="12" applyAlignment="1" pivotButton="0" quotePrefix="0" xfId="0">
      <alignment horizontal="center" vertical="center" wrapText="1"/>
    </xf>
    <xf numFmtId="2" fontId="65" fillId="0" borderId="13" applyAlignment="1" pivotButton="0" quotePrefix="0" xfId="0">
      <alignment horizontal="center" vertical="center" wrapText="1"/>
    </xf>
    <xf numFmtId="2" fontId="65" fillId="0" borderId="17" applyAlignment="1" pivotButton="0" quotePrefix="0" xfId="0">
      <alignment horizontal="center" vertical="center" wrapText="1"/>
    </xf>
    <xf numFmtId="2" fontId="65" fillId="0" borderId="19" applyAlignment="1" pivotButton="0" quotePrefix="0" xfId="0">
      <alignment horizontal="center" vertical="center" wrapText="1"/>
    </xf>
    <xf numFmtId="2" fontId="67" fillId="0" borderId="8" applyAlignment="1" pivotButton="0" quotePrefix="0" xfId="0">
      <alignment horizontal="center" vertical="center" wrapText="1"/>
    </xf>
    <xf numFmtId="2" fontId="65" fillId="0" borderId="8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3" fillId="0" borderId="29" applyAlignment="1" pivotButton="0" quotePrefix="0" xfId="0">
      <alignment horizontal="center" vertical="center"/>
    </xf>
    <xf numFmtId="1" fontId="63" fillId="0" borderId="70" applyAlignment="1" pivotButton="0" quotePrefix="0" xfId="0">
      <alignment horizontal="center" vertical="center"/>
    </xf>
    <xf numFmtId="1" fontId="63" fillId="0" borderId="71" applyAlignment="1" pivotButton="0" quotePrefix="0" xfId="0">
      <alignment horizontal="center" vertical="center"/>
    </xf>
    <xf numFmtId="1" fontId="63" fillId="0" borderId="114" applyAlignment="1" pivotButton="0" quotePrefix="0" xfId="0">
      <alignment horizontal="center" vertical="center"/>
    </xf>
    <xf numFmtId="1" fontId="63" fillId="0" borderId="34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" fontId="63" fillId="0" borderId="43" applyAlignment="1" pivotButton="0" quotePrefix="0" xfId="0">
      <alignment horizontal="center" vertical="center"/>
    </xf>
    <xf numFmtId="1" fontId="63" fillId="0" borderId="45" applyAlignment="1" pivotButton="0" quotePrefix="0" xfId="0">
      <alignment horizontal="center" vertical="center"/>
    </xf>
    <xf numFmtId="1" fontId="63" fillId="0" borderId="118" applyAlignment="1" pivotButton="0" quotePrefix="0" xfId="0">
      <alignment horizontal="center" vertical="center"/>
    </xf>
    <xf numFmtId="1" fontId="63" fillId="0" borderId="54" applyAlignment="1" pivotButton="0" quotePrefix="0" xfId="0">
      <alignment horizontal="center" vertical="center"/>
    </xf>
    <xf numFmtId="1" fontId="63" fillId="0" borderId="7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 wrapText="1"/>
    </xf>
    <xf numFmtId="2" fontId="3" fillId="0" borderId="63" applyAlignment="1" pivotButton="0" quotePrefix="0" xfId="0">
      <alignment horizontal="center" vertical="center"/>
    </xf>
    <xf numFmtId="0" fontId="4" fillId="58" borderId="11" applyAlignment="1" pivotButton="0" quotePrefix="0" xfId="0">
      <alignment horizontal="center" vertical="center"/>
    </xf>
    <xf numFmtId="0" fontId="4" fillId="58" borderId="13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0" fontId="75" fillId="0" borderId="36" applyAlignment="1" pivotButton="0" quotePrefix="0" xfId="0">
      <alignment horizontal="center" vertical="center"/>
    </xf>
    <xf numFmtId="0" fontId="75" fillId="0" borderId="47" applyAlignment="1" pivotButton="0" quotePrefix="0" xfId="0">
      <alignment horizontal="center" vertical="center"/>
    </xf>
    <xf numFmtId="0" fontId="76" fillId="0" borderId="57" applyAlignment="1" pivotButton="0" quotePrefix="0" xfId="0">
      <alignment horizontal="center" vertical="center"/>
    </xf>
    <xf numFmtId="0" fontId="76" fillId="0" borderId="6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/>
    </xf>
    <xf numFmtId="0" fontId="75" fillId="0" borderId="112" applyAlignment="1" pivotButton="0" quotePrefix="0" xfId="0">
      <alignment horizontal="center" vertical="center"/>
    </xf>
    <xf numFmtId="0" fontId="75" fillId="0" borderId="5" applyAlignment="1" pivotButton="0" quotePrefix="0" xfId="0">
      <alignment horizontal="center" vertical="center"/>
    </xf>
    <xf numFmtId="0" fontId="75" fillId="0" borderId="48" applyAlignment="1" pivotButton="0" quotePrefix="0" xfId="0">
      <alignment horizontal="center" vertical="center"/>
    </xf>
    <xf numFmtId="0" fontId="76" fillId="0" borderId="72" applyAlignment="1" pivotButton="0" quotePrefix="0" xfId="0">
      <alignment horizontal="center" vertical="center"/>
    </xf>
    <xf numFmtId="0" fontId="76" fillId="0" borderId="5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/>
    </xf>
    <xf numFmtId="0" fontId="76" fillId="0" borderId="1" applyAlignment="1" pivotButton="0" quotePrefix="0" xfId="0">
      <alignment horizontal="center" vertical="center"/>
    </xf>
    <xf numFmtId="0" fontId="76" fillId="0" borderId="48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/>
    </xf>
    <xf numFmtId="1" fontId="6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3" fillId="0" borderId="62" applyAlignment="1" pivotButton="0" quotePrefix="0" xfId="0">
      <alignment horizontal="center" vertical="center"/>
    </xf>
    <xf numFmtId="14" fontId="3" fillId="0" borderId="6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4" fontId="2" fillId="0" borderId="36" applyAlignment="1" pivotButton="0" quotePrefix="0" xfId="0">
      <alignment horizontal="center" vertical="center"/>
    </xf>
    <xf numFmtId="14" fontId="2" fillId="0" borderId="5" applyAlignment="1" pivotButton="0" quotePrefix="0" xfId="0">
      <alignment horizontal="center" vertical="center"/>
    </xf>
    <xf numFmtId="14" fontId="2" fillId="0" borderId="115" applyAlignment="1" pivotButton="0" quotePrefix="0" xfId="0">
      <alignment horizontal="center" vertical="center"/>
    </xf>
    <xf numFmtId="2" fontId="2" fillId="0" borderId="9" applyAlignment="1" pivotButton="0" quotePrefix="0" xfId="0">
      <alignment horizontal="center" vertical="center"/>
    </xf>
    <xf numFmtId="2" fontId="2" fillId="0" borderId="11" applyAlignment="1" pivotButton="0" quotePrefix="0" xfId="0">
      <alignment horizontal="center" vertical="center"/>
    </xf>
    <xf numFmtId="2" fontId="2" fillId="0" borderId="12" applyAlignment="1" pivotButton="0" quotePrefix="0" xfId="0">
      <alignment horizontal="center" vertical="center"/>
    </xf>
    <xf numFmtId="2" fontId="2" fillId="0" borderId="13" applyAlignment="1" pivotButton="0" quotePrefix="0" xfId="0">
      <alignment horizontal="center" vertical="center"/>
    </xf>
    <xf numFmtId="2" fontId="2" fillId="0" borderId="17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2" fontId="6" fillId="0" borderId="21" applyAlignment="1" pivotButton="0" quotePrefix="0" xfId="0">
      <alignment horizontal="center" vertical="center"/>
    </xf>
    <xf numFmtId="2" fontId="6" fillId="0" borderId="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5" fillId="0" borderId="68" applyAlignment="1" pivotButton="0" quotePrefix="0" xfId="0">
      <alignment horizontal="center" vertical="center"/>
    </xf>
    <xf numFmtId="14" fontId="5" fillId="0" borderId="11" applyAlignment="1" pivotButton="0" quotePrefix="0" xfId="0">
      <alignment horizontal="center" vertical="center"/>
    </xf>
    <xf numFmtId="14" fontId="5" fillId="0" borderId="13" applyAlignment="1" pivotButton="0" quotePrefix="0" xfId="0">
      <alignment horizontal="center" vertical="center"/>
    </xf>
    <xf numFmtId="14" fontId="5" fillId="0" borderId="16" applyAlignment="1" pivotButton="0" quotePrefix="0" xfId="0">
      <alignment horizontal="center" vertical="center"/>
    </xf>
    <xf numFmtId="0" fontId="61" fillId="0" borderId="46" applyAlignment="1" pivotButton="0" quotePrefix="0" xfId="0">
      <alignment horizontal="center" vertical="center"/>
    </xf>
    <xf numFmtId="14" fontId="5" fillId="0" borderId="36" applyAlignment="1" pivotButton="0" quotePrefix="0" xfId="0">
      <alignment horizontal="center" vertical="center"/>
    </xf>
    <xf numFmtId="14" fontId="5" fillId="0" borderId="5" applyAlignment="1" pivotButton="0" quotePrefix="0" xfId="0">
      <alignment horizontal="center" vertical="center"/>
    </xf>
    <xf numFmtId="14" fontId="5" fillId="0" borderId="115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2" fontId="3" fillId="0" borderId="9" applyAlignment="1" pivotButton="0" quotePrefix="0" xfId="0">
      <alignment horizontal="center" vertical="center"/>
    </xf>
    <xf numFmtId="2" fontId="3" fillId="0" borderId="11" applyAlignment="1" pivotButton="0" quotePrefix="0" xfId="0">
      <alignment horizontal="center" vertical="center"/>
    </xf>
    <xf numFmtId="2" fontId="3" fillId="0" borderId="12" applyAlignment="1" pivotButton="0" quotePrefix="0" xfId="0">
      <alignment horizontal="center" vertical="center"/>
    </xf>
    <xf numFmtId="2" fontId="3" fillId="0" borderId="13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9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67" fillId="0" borderId="40" applyAlignment="1" pivotButton="0" quotePrefix="0" xfId="0">
      <alignment horizontal="center" vertical="center"/>
    </xf>
    <xf numFmtId="0" fontId="67" fillId="0" borderId="19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2" fontId="65" fillId="0" borderId="63" applyAlignment="1" pivotButton="0" quotePrefix="0" xfId="0">
      <alignment horizontal="center" vertical="center"/>
    </xf>
    <xf numFmtId="0" fontId="65" fillId="0" borderId="6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0" fontId="61" fillId="0" borderId="40" applyAlignment="1" pivotButton="0" quotePrefix="0" xfId="0">
      <alignment horizontal="center" vertical="center"/>
    </xf>
    <xf numFmtId="0" fontId="61" fillId="0" borderId="19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164" fontId="3" fillId="0" borderId="55" applyAlignment="1" pivotButton="0" quotePrefix="0" xfId="0">
      <alignment horizontal="center" vertical="center"/>
    </xf>
    <xf numFmtId="2" fontId="3" fillId="56" borderId="55" applyAlignment="1" pivotButton="0" quotePrefix="0" xfId="0">
      <alignment horizontal="center" vertical="center"/>
    </xf>
    <xf numFmtId="2" fontId="3" fillId="56" borderId="48" applyAlignment="1" pivotButton="0" quotePrefix="0" xfId="0">
      <alignment horizontal="center" vertical="center"/>
    </xf>
    <xf numFmtId="2" fontId="3" fillId="56" borderId="66" applyAlignment="1" pivotButton="0" quotePrefix="0" xfId="0">
      <alignment horizontal="center" vertical="center"/>
    </xf>
    <xf numFmtId="2" fontId="3" fillId="56" borderId="50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 vertical="center"/>
    </xf>
    <xf numFmtId="0" fontId="59" fillId="0" borderId="33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3" fillId="55" borderId="58" applyAlignment="1" pivotButton="0" quotePrefix="0" xfId="0">
      <alignment horizontal="center" vertical="center"/>
    </xf>
    <xf numFmtId="164" fontId="6" fillId="0" borderId="26" applyAlignment="1" pivotButton="0" quotePrefix="0" xfId="0">
      <alignment horizontal="center" vertical="center"/>
    </xf>
    <xf numFmtId="164" fontId="6" fillId="0" borderId="28" applyAlignment="1" pivotButton="0" quotePrefix="0" xfId="0">
      <alignment horizontal="center" vertical="center"/>
    </xf>
    <xf numFmtId="164" fontId="3" fillId="0" borderId="67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16" fontId="2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3" fontId="2" fillId="0" borderId="0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center" vertical="center" wrapText="1"/>
    </xf>
    <xf numFmtId="0" fontId="5" fillId="0" borderId="66" applyAlignment="1" pivotButton="0" quotePrefix="0" xfId="0">
      <alignment vertical="center"/>
    </xf>
    <xf numFmtId="14" fontId="4" fillId="0" borderId="19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14" fontId="4" fillId="0" borderId="28" applyAlignment="1" pivotButton="0" quotePrefix="0" xfId="0">
      <alignment horizontal="center" vertical="center"/>
    </xf>
    <xf numFmtId="49" fontId="4" fillId="0" borderId="17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4" fontId="5" fillId="0" borderId="19" applyAlignment="1" pivotButton="0" quotePrefix="0" xfId="0">
      <alignment horizontal="center" vertical="center"/>
    </xf>
    <xf numFmtId="14" fontId="5" fillId="0" borderId="28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50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54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67" fillId="0" borderId="46" applyAlignment="1" pivotButton="0" quotePrefix="0" xfId="0">
      <alignment horizontal="center" vertical="center"/>
    </xf>
    <xf numFmtId="0" fontId="65" fillId="55" borderId="59" applyAlignment="1" pivotButton="0" quotePrefix="0" xfId="0">
      <alignment vertical="center"/>
    </xf>
    <xf numFmtId="0" fontId="67" fillId="0" borderId="45" applyAlignment="1" pivotButton="0" quotePrefix="0" xfId="0">
      <alignment horizontal="center" vertical="center"/>
    </xf>
    <xf numFmtId="0" fontId="67" fillId="0" borderId="54" applyAlignment="1" pivotButton="0" quotePrefix="0" xfId="0">
      <alignment horizontal="center" vertical="center"/>
    </xf>
    <xf numFmtId="14" fontId="65" fillId="0" borderId="11" applyAlignment="1" pivotButton="0" quotePrefix="0" xfId="0">
      <alignment horizontal="center" vertical="center"/>
    </xf>
    <xf numFmtId="14" fontId="65" fillId="0" borderId="13" applyAlignment="1" pivotButton="0" quotePrefix="0" xfId="0">
      <alignment horizontal="center" vertical="center"/>
    </xf>
    <xf numFmtId="14" fontId="65" fillId="0" borderId="16" applyAlignment="1" pivotButton="0" quotePrefix="0" xfId="0">
      <alignment horizontal="center" vertical="center"/>
    </xf>
    <xf numFmtId="14" fontId="65" fillId="0" borderId="61" applyAlignment="1" pivotButton="0" quotePrefix="0" xfId="0">
      <alignment horizontal="center" vertical="center"/>
    </xf>
    <xf numFmtId="14" fontId="65" fillId="0" borderId="36" applyAlignment="1" pivotButton="0" quotePrefix="0" xfId="0">
      <alignment horizontal="center" vertical="center"/>
    </xf>
    <xf numFmtId="14" fontId="65" fillId="0" borderId="5" applyAlignment="1" pivotButton="0" quotePrefix="0" xfId="0">
      <alignment horizontal="center" vertical="center"/>
    </xf>
    <xf numFmtId="14" fontId="65" fillId="0" borderId="115" applyAlignment="1" pivotButton="0" quotePrefix="0" xfId="0">
      <alignment horizontal="center" vertical="center"/>
    </xf>
    <xf numFmtId="14" fontId="65" fillId="0" borderId="6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4" fontId="2" fillId="0" borderId="6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65" fillId="0" borderId="2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0" borderId="11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67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2" fontId="4" fillId="0" borderId="63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/>
    </xf>
    <xf numFmtId="0" fontId="74" fillId="0" borderId="9" applyAlignment="1" pivotButton="0" quotePrefix="0" xfId="0">
      <alignment horizontal="center" vertical="center"/>
    </xf>
    <xf numFmtId="0" fontId="74" fillId="0" borderId="11" applyAlignment="1" pivotButton="0" quotePrefix="0" xfId="0">
      <alignment horizontal="center" vertical="center"/>
    </xf>
    <xf numFmtId="0" fontId="74" fillId="0" borderId="53" applyAlignment="1" pivotButton="0" quotePrefix="0" xfId="0">
      <alignment horizontal="center" vertical="center"/>
    </xf>
    <xf numFmtId="0" fontId="74" fillId="0" borderId="24" applyAlignment="1" pivotButton="0" quotePrefix="0" xfId="0">
      <alignment horizontal="center" vertical="center"/>
    </xf>
    <xf numFmtId="0" fontId="74" fillId="0" borderId="2" applyAlignment="1" pivotButton="0" quotePrefix="0" xfId="0">
      <alignment horizontal="center" vertical="center"/>
    </xf>
    <xf numFmtId="0" fontId="74" fillId="0" borderId="69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/>
    </xf>
    <xf numFmtId="0" fontId="74" fillId="0" borderId="13" applyAlignment="1" pivotButton="0" quotePrefix="0" xfId="0">
      <alignment horizontal="center" vertical="center"/>
    </xf>
    <xf numFmtId="0" fontId="74" fillId="0" borderId="38" applyAlignment="1" pivotButton="0" quotePrefix="0" xfId="0">
      <alignment horizontal="center" vertical="center"/>
    </xf>
    <xf numFmtId="0" fontId="74" fillId="0" borderId="6" applyAlignment="1" pivotButton="0" quotePrefix="0" xfId="0">
      <alignment horizontal="center" vertical="center"/>
    </xf>
    <xf numFmtId="0" fontId="74" fillId="0" borderId="55" applyAlignment="1" pivotButton="0" quotePrefix="0" xfId="0">
      <alignment horizontal="center" vertical="center"/>
    </xf>
    <xf numFmtId="0" fontId="74" fillId="0" borderId="5" applyAlignment="1" pivotButton="0" quotePrefix="0" xfId="0">
      <alignment horizontal="center" vertical="center"/>
    </xf>
    <xf numFmtId="0" fontId="74" fillId="0" borderId="66" applyAlignment="1" pivotButton="0" quotePrefix="0" xfId="0">
      <alignment horizontal="center" vertical="center"/>
    </xf>
    <xf numFmtId="0" fontId="74" fillId="0" borderId="17" applyAlignment="1" pivotButton="0" quotePrefix="0" xfId="0">
      <alignment horizontal="center" vertical="center"/>
    </xf>
    <xf numFmtId="0" fontId="74" fillId="0" borderId="18" applyAlignment="1" pivotButton="0" quotePrefix="0" xfId="0">
      <alignment horizontal="center" vertical="center"/>
    </xf>
    <xf numFmtId="0" fontId="74" fillId="0" borderId="3" applyAlignment="1" pivotButton="0" quotePrefix="0" xfId="0">
      <alignment horizontal="center" vertical="center"/>
    </xf>
    <xf numFmtId="0" fontId="74" fillId="0" borderId="50" applyAlignment="1" pivotButton="0" quotePrefix="0" xfId="0">
      <alignment horizontal="center" vertical="center"/>
    </xf>
    <xf numFmtId="0" fontId="74" fillId="0" borderId="117" applyAlignment="1" pivotButton="0" quotePrefix="0" xfId="0">
      <alignment horizontal="center" vertical="center"/>
    </xf>
    <xf numFmtId="0" fontId="74" fillId="0" borderId="40" applyAlignment="1" pivotButton="0" quotePrefix="0" xfId="0">
      <alignment horizontal="center" vertical="center"/>
    </xf>
    <xf numFmtId="0" fontId="74" fillId="0" borderId="21" applyAlignment="1" pivotButton="0" quotePrefix="0" xfId="0">
      <alignment horizontal="center" vertical="center"/>
    </xf>
    <xf numFmtId="0" fontId="77" fillId="0" borderId="26" applyAlignment="1" pivotButton="0" quotePrefix="0" xfId="0">
      <alignment horizontal="center" vertical="center"/>
    </xf>
    <xf numFmtId="0" fontId="77" fillId="0" borderId="21" applyAlignment="1" pivotButton="0" quotePrefix="0" xfId="0">
      <alignment horizontal="center" vertical="center"/>
    </xf>
    <xf numFmtId="0" fontId="77" fillId="0" borderId="8" applyAlignment="1" pivotButton="0" quotePrefix="0" xfId="0">
      <alignment horizontal="center" vertical="center"/>
    </xf>
    <xf numFmtId="0" fontId="74" fillId="0" borderId="51" applyAlignment="1" pivotButton="0" quotePrefix="0" xfId="0">
      <alignment horizontal="center" vertical="center"/>
    </xf>
    <xf numFmtId="0" fontId="77" fillId="0" borderId="28" applyAlignment="1" pivotButton="0" quotePrefix="0" xfId="0">
      <alignment horizontal="center" vertical="center"/>
    </xf>
    <xf numFmtId="0" fontId="78" fillId="0" borderId="128" applyAlignment="1" pivotButton="0" quotePrefix="0" xfId="0">
      <alignment horizontal="center" vertical="center"/>
    </xf>
    <xf numFmtId="0" fontId="78" fillId="0" borderId="129" applyAlignment="1" pivotButton="0" quotePrefix="0" xfId="0">
      <alignment horizontal="center" vertical="center"/>
    </xf>
    <xf numFmtId="0" fontId="78" fillId="0" borderId="130" applyAlignment="1" pivotButton="0" quotePrefix="0" xfId="0">
      <alignment horizontal="center" vertical="center"/>
    </xf>
    <xf numFmtId="0" fontId="0" fillId="0" borderId="131" applyAlignment="1" pivotButton="0" quotePrefix="0" xfId="0">
      <alignment horizontal="center" vertical="center"/>
    </xf>
    <xf numFmtId="0" fontId="0" fillId="0" borderId="132" applyAlignment="1" pivotButton="0" quotePrefix="0" xfId="0">
      <alignment horizontal="center" vertical="center"/>
    </xf>
    <xf numFmtId="0" fontId="0" fillId="0" borderId="13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56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4" fillId="0" borderId="66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2" fontId="4" fillId="0" borderId="63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63" fillId="0" borderId="9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center" wrapText="1"/>
    </xf>
    <xf numFmtId="0" fontId="63" fillId="0" borderId="36" applyAlignment="1" pivotButton="0" quotePrefix="0" xfId="0">
      <alignment horizontal="center" vertical="center" wrapText="1"/>
    </xf>
    <xf numFmtId="0" fontId="63" fillId="0" borderId="4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3" fillId="0" borderId="112" applyAlignment="1" pivotButton="0" quotePrefix="0" xfId="0">
      <alignment horizontal="center" vertical="center" wrapText="1"/>
    </xf>
    <xf numFmtId="0" fontId="63" fillId="0" borderId="5" applyAlignment="1" pivotButton="0" quotePrefix="0" xfId="0">
      <alignment horizontal="center" vertical="center" wrapText="1"/>
    </xf>
    <xf numFmtId="0" fontId="63" fillId="0" borderId="48" applyAlignment="1" pivotButton="0" quotePrefix="0" xfId="0">
      <alignment horizontal="center" vertical="center" wrapText="1"/>
    </xf>
    <xf numFmtId="0" fontId="4" fillId="0" borderId="72" applyAlignment="1" pivotButton="0" quotePrefix="0" xfId="0">
      <alignment horizontal="center" vertical="center" wrapText="1"/>
    </xf>
    <xf numFmtId="0" fontId="63" fillId="0" borderId="51" applyAlignment="1" pivotButton="0" quotePrefix="0" xfId="0">
      <alignment horizontal="center" vertical="center" wrapText="1"/>
    </xf>
    <xf numFmtId="0" fontId="63" fillId="0" borderId="27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5" borderId="71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15" applyAlignment="1" pivotButton="0" quotePrefix="0" xfId="0">
      <alignment horizontal="center" vertical="center" wrapText="1"/>
    </xf>
    <xf numFmtId="0" fontId="4" fillId="0" borderId="38" applyAlignment="1" pivotButton="0" quotePrefix="0" xfId="0">
      <alignment vertical="center" wrapText="1"/>
    </xf>
    <xf numFmtId="0" fontId="4" fillId="0" borderId="55" applyAlignment="1" pivotButton="0" quotePrefix="0" xfId="0">
      <alignment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17" applyAlignment="1" pivotButton="0" quotePrefix="0" xfId="0">
      <alignment horizontal="center" vertical="center" wrapText="1"/>
    </xf>
    <xf numFmtId="0" fontId="4" fillId="0" borderId="64" applyAlignment="1" pivotButton="0" quotePrefix="0" xfId="0">
      <alignment vertical="center" wrapText="1"/>
    </xf>
    <xf numFmtId="0" fontId="4" fillId="0" borderId="15" applyAlignment="1" pivotButton="0" quotePrefix="0" xfId="0">
      <alignment horizontal="center" vertical="center" wrapText="1"/>
    </xf>
    <xf numFmtId="0" fontId="63" fillId="0" borderId="26" applyAlignment="1" pivotButton="0" quotePrefix="0" xfId="0">
      <alignment horizontal="center" vertical="center" wrapText="1"/>
    </xf>
    <xf numFmtId="0" fontId="63" fillId="0" borderId="21" applyAlignment="1" pivotButton="0" quotePrefix="0" xfId="0">
      <alignment horizontal="center" vertical="center" wrapText="1"/>
    </xf>
    <xf numFmtId="0" fontId="63" fillId="0" borderId="28" applyAlignment="1" pivotButton="0" quotePrefix="0" xfId="0">
      <alignment horizontal="center" vertical="center" wrapText="1"/>
    </xf>
    <xf numFmtId="0" fontId="4" fillId="0" borderId="58" applyAlignment="1" pivotButton="0" quotePrefix="0" xfId="0">
      <alignment vertical="center" wrapText="1"/>
    </xf>
    <xf numFmtId="0" fontId="63" fillId="0" borderId="63" applyAlignment="1" pivotButton="0" quotePrefix="0" xfId="0">
      <alignment horizontal="center" vertical="center" wrapText="1"/>
    </xf>
    <xf numFmtId="0" fontId="63" fillId="0" borderId="61" applyAlignment="1" pivotButton="0" quotePrefix="0" xfId="0">
      <alignment horizontal="center" vertical="center" wrapText="1"/>
    </xf>
    <xf numFmtId="0" fontId="63" fillId="0" borderId="32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14" fontId="4" fillId="0" borderId="11" applyAlignment="1" pivotButton="0" quotePrefix="0" xfId="0">
      <alignment horizontal="center" vertical="center" wrapText="1"/>
    </xf>
    <xf numFmtId="14" fontId="4" fillId="0" borderId="13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36" applyAlignment="1" pivotButton="0" quotePrefix="0" xfId="0">
      <alignment horizontal="center" vertical="center" wrapText="1"/>
    </xf>
    <xf numFmtId="14" fontId="4" fillId="0" borderId="5" applyAlignment="1" pivotButton="0" quotePrefix="0" xfId="0">
      <alignment horizontal="center" vertical="center" wrapText="1"/>
    </xf>
    <xf numFmtId="14" fontId="4" fillId="0" borderId="115" applyAlignment="1" pivotButton="0" quotePrefix="0" xfId="0">
      <alignment horizontal="center" vertical="center" wrapText="1"/>
    </xf>
    <xf numFmtId="2" fontId="67" fillId="0" borderId="2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2" fillId="58" borderId="42" applyAlignment="1" pivotButton="0" quotePrefix="0" xfId="0">
      <alignment horizontal="center" vertical="center"/>
    </xf>
    <xf numFmtId="0" fontId="2" fillId="58" borderId="7" applyAlignment="1" pivotButton="0" quotePrefix="0" xfId="0">
      <alignment horizontal="center" vertical="center"/>
    </xf>
    <xf numFmtId="0" fontId="2" fillId="58" borderId="41" applyAlignment="1" pivotButton="0" quotePrefix="0" xfId="0">
      <alignment horizontal="center" vertical="center"/>
    </xf>
    <xf numFmtId="0" fontId="2" fillId="58" borderId="40" applyAlignment="1" pivotButton="0" quotePrefix="0" xfId="0">
      <alignment horizontal="center" vertical="center"/>
    </xf>
    <xf numFmtId="0" fontId="2" fillId="58" borderId="18" applyAlignment="1" pivotButton="0" quotePrefix="0" xfId="0">
      <alignment horizontal="center" vertical="center"/>
    </xf>
    <xf numFmtId="0" fontId="2" fillId="58" borderId="3" applyAlignment="1" pivotButton="0" quotePrefix="0" xfId="0">
      <alignment horizontal="center" vertical="center"/>
    </xf>
    <xf numFmtId="49" fontId="2" fillId="0" borderId="14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164" fontId="6" fillId="0" borderId="65" applyAlignment="1" pivotButton="0" quotePrefix="0" xfId="0">
      <alignment horizontal="center" vertical="center"/>
    </xf>
    <xf numFmtId="164" fontId="6" fillId="0" borderId="11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2" fillId="0" borderId="5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4" fontId="6" fillId="0" borderId="55" applyAlignment="1" pivotButton="0" quotePrefix="0" xfId="0">
      <alignment horizontal="center" vertical="center"/>
    </xf>
    <xf numFmtId="164" fontId="6" fillId="0" borderId="72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6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165" fontId="5" fillId="0" borderId="59" applyAlignment="1" pivotButton="0" quotePrefix="0" xfId="0">
      <alignment horizontal="center" vertical="center" wrapText="1"/>
    </xf>
    <xf numFmtId="165" fontId="5" fillId="0" borderId="34" applyAlignment="1" pivotButton="0" quotePrefix="0" xfId="0">
      <alignment horizontal="center" vertical="center" wrapText="1"/>
    </xf>
    <xf numFmtId="165" fontId="5" fillId="0" borderId="71" applyAlignment="1" pivotButton="0" quotePrefix="0" xfId="0">
      <alignment horizontal="center" vertical="center" wrapText="1"/>
    </xf>
    <xf numFmtId="165" fontId="5" fillId="0" borderId="35" applyAlignment="1" pivotButton="0" quotePrefix="0" xfId="0">
      <alignment horizontal="center" vertical="center" wrapText="1"/>
    </xf>
    <xf numFmtId="14" fontId="2" fillId="0" borderId="33" applyAlignment="1" pivotButton="0" quotePrefix="0" xfId="0">
      <alignment horizontal="center" vertical="center"/>
    </xf>
    <xf numFmtId="14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13" applyAlignment="1" pivotButton="0" quotePrefix="0" xfId="0">
      <alignment horizontal="center" vertical="center" wrapText="1"/>
    </xf>
    <xf numFmtId="0" fontId="5" fillId="0" borderId="69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54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/>
    </xf>
    <xf numFmtId="0" fontId="3" fillId="0" borderId="1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11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164" fontId="6" fillId="0" borderId="66" applyAlignment="1" pivotButton="0" quotePrefix="0" xfId="0">
      <alignment horizontal="center" vertical="center"/>
    </xf>
    <xf numFmtId="164" fontId="6" fillId="0" borderId="117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6" fillId="0" borderId="23" applyAlignment="1" pivotButton="0" quotePrefix="0" xfId="0">
      <alignment horizontal="center" vertical="center"/>
    </xf>
    <xf numFmtId="1" fontId="61" fillId="0" borderId="21" applyAlignment="1" pivotButton="0" quotePrefix="0" xfId="0">
      <alignment horizontal="center" vertical="center"/>
    </xf>
    <xf numFmtId="1" fontId="61" fillId="0" borderId="23" applyAlignment="1" pivotButton="0" quotePrefix="0" xfId="0">
      <alignment horizontal="center" vertical="center"/>
    </xf>
    <xf numFmtId="14" fontId="61" fillId="0" borderId="21" applyAlignment="1" pivotButton="0" quotePrefix="0" xfId="0">
      <alignment horizontal="center" vertical="center"/>
    </xf>
    <xf numFmtId="14" fontId="61" fillId="0" borderId="22" applyAlignment="1" pivotButton="0" quotePrefix="0" xfId="0">
      <alignment horizontal="center" vertical="center"/>
    </xf>
    <xf numFmtId="14" fontId="61" fillId="0" borderId="23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1" fontId="61" fillId="0" borderId="29" applyAlignment="1" pivotButton="0" quotePrefix="0" xfId="0">
      <alignment horizontal="center" vertical="center"/>
    </xf>
    <xf numFmtId="1" fontId="61" fillId="0" borderId="30" applyAlignment="1" pivotButton="0" quotePrefix="0" xfId="0">
      <alignment horizontal="center" vertical="center"/>
    </xf>
    <xf numFmtId="1" fontId="61" fillId="0" borderId="31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14" fontId="61" fillId="0" borderId="33" applyAlignment="1" pivotButton="0" quotePrefix="0" xfId="0">
      <alignment horizontal="center" vertical="center"/>
    </xf>
    <xf numFmtId="0" fontId="61" fillId="0" borderId="33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3" fillId="0" borderId="6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" fontId="6" fillId="0" borderId="29" applyAlignment="1" pivotButton="0" quotePrefix="0" xfId="0">
      <alignment horizontal="center" vertical="center"/>
    </xf>
    <xf numFmtId="1" fontId="6" fillId="0" borderId="30" applyAlignment="1" pivotButton="0" quotePrefix="0" xfId="0">
      <alignment horizontal="center" vertical="center"/>
    </xf>
    <xf numFmtId="1" fontId="6" fillId="0" borderId="31" applyAlignment="1" pivotButton="0" quotePrefix="0" xfId="0">
      <alignment horizontal="center" vertical="center"/>
    </xf>
    <xf numFmtId="1" fontId="6" fillId="0" borderId="21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14" fontId="6" fillId="0" borderId="33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4" fontId="6" fillId="0" borderId="22" applyAlignment="1" pivotButton="0" quotePrefix="0" xfId="0">
      <alignment horizontal="center" vertical="center"/>
    </xf>
    <xf numFmtId="14" fontId="6" fillId="0" borderId="23" applyAlignment="1" pivotButton="0" quotePrefix="0" xfId="0">
      <alignment horizontal="center" vertical="center"/>
    </xf>
    <xf numFmtId="14" fontId="65" fillId="0" borderId="33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3" fillId="0" borderId="114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113" applyAlignment="1" pivotButton="0" quotePrefix="0" xfId="0">
      <alignment horizontal="center" vertical="center" wrapText="1"/>
    </xf>
    <xf numFmtId="0" fontId="3" fillId="0" borderId="69" applyAlignment="1" pivotButton="0" quotePrefix="0" xfId="0">
      <alignment horizontal="center" vertical="center" wrapText="1"/>
    </xf>
    <xf numFmtId="14" fontId="63" fillId="0" borderId="33" applyAlignment="1" pivotButton="0" quotePrefix="0" xfId="0">
      <alignment horizontal="center" vertical="center"/>
    </xf>
    <xf numFmtId="0" fontId="63" fillId="0" borderId="33" applyAlignment="1" pivotButton="0" quotePrefix="0" xfId="0">
      <alignment horizontal="center" vertical="center"/>
    </xf>
    <xf numFmtId="0" fontId="63" fillId="0" borderId="34" applyAlignment="1" pivotButton="0" quotePrefix="0" xfId="0">
      <alignment horizontal="center" vertical="center"/>
    </xf>
    <xf numFmtId="1" fontId="63" fillId="0" borderId="29" applyAlignment="1" pivotButton="0" quotePrefix="0" xfId="0">
      <alignment horizontal="center" vertical="center"/>
    </xf>
    <xf numFmtId="1" fontId="63" fillId="0" borderId="30" applyAlignment="1" pivotButton="0" quotePrefix="0" xfId="0">
      <alignment horizontal="center" vertical="center"/>
    </xf>
    <xf numFmtId="1" fontId="63" fillId="0" borderId="3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14" fontId="63" fillId="0" borderId="21" applyAlignment="1" pivotButton="0" quotePrefix="0" xfId="0">
      <alignment horizontal="center" vertical="center"/>
    </xf>
    <xf numFmtId="14" fontId="63" fillId="0" borderId="22" applyAlignment="1" pivotButton="0" quotePrefix="0" xfId="0">
      <alignment horizontal="center" vertical="center"/>
    </xf>
    <xf numFmtId="14" fontId="63" fillId="0" borderId="23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63" fillId="0" borderId="55" applyAlignment="1" pivotButton="0" quotePrefix="0" xfId="0">
      <alignment horizontal="center" vertical="center"/>
    </xf>
    <xf numFmtId="164" fontId="63" fillId="0" borderId="7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164" fontId="63" fillId="0" borderId="66" applyAlignment="1" pivotButton="0" quotePrefix="0" xfId="0">
      <alignment horizontal="center" vertical="center"/>
    </xf>
    <xf numFmtId="164" fontId="63" fillId="0" borderId="117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0" fontId="63" fillId="0" borderId="23" applyAlignment="1" pivotButton="0" quotePrefix="0" xfId="0">
      <alignment horizontal="center" vertical="center"/>
    </xf>
    <xf numFmtId="164" fontId="63" fillId="0" borderId="21" applyAlignment="1" pivotButton="0" quotePrefix="0" xfId="0">
      <alignment horizontal="center" vertical="center"/>
    </xf>
    <xf numFmtId="164" fontId="63" fillId="0" borderId="2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1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4" fontId="4" fillId="0" borderId="33" applyAlignment="1" pivotButton="0" quotePrefix="0" xfId="0">
      <alignment horizontal="center" vertical="center"/>
    </xf>
    <xf numFmtId="0" fontId="4" fillId="0" borderId="114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118" applyAlignment="1" pivotButton="0" quotePrefix="0" xfId="0">
      <alignment horizontal="center" vertical="center"/>
    </xf>
    <xf numFmtId="164" fontId="63" fillId="0" borderId="65" applyAlignment="1" pivotButton="0" quotePrefix="0" xfId="0">
      <alignment horizontal="center" vertical="center"/>
    </xf>
    <xf numFmtId="164" fontId="63" fillId="0" borderId="11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165" fontId="3" fillId="0" borderId="59" applyAlignment="1" pivotButton="0" quotePrefix="0" xfId="0">
      <alignment horizontal="center" vertical="center" wrapText="1"/>
    </xf>
    <xf numFmtId="165" fontId="3" fillId="0" borderId="34" applyAlignment="1" pivotButton="0" quotePrefix="0" xfId="0">
      <alignment horizontal="center" vertical="center" wrapText="1"/>
    </xf>
    <xf numFmtId="165" fontId="3" fillId="0" borderId="71" applyAlignment="1" pivotButton="0" quotePrefix="0" xfId="0">
      <alignment horizontal="center" vertical="center" wrapText="1"/>
    </xf>
    <xf numFmtId="165" fontId="3" fillId="0" borderId="3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4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 wrapText="1"/>
    </xf>
    <xf numFmtId="0" fontId="3" fillId="0" borderId="6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14" fontId="67" fillId="0" borderId="33" applyAlignment="1" pivotButton="0" quotePrefix="0" xfId="0">
      <alignment horizontal="center" vertical="center"/>
    </xf>
    <xf numFmtId="0" fontId="67" fillId="0" borderId="33" applyAlignment="1" pivotButton="0" quotePrefix="0" xfId="0">
      <alignment horizontal="center" vertical="center"/>
    </xf>
    <xf numFmtId="0" fontId="67" fillId="0" borderId="34" applyAlignment="1" pivotButton="0" quotePrefix="0" xfId="0">
      <alignment horizontal="center" vertical="center"/>
    </xf>
    <xf numFmtId="1" fontId="67" fillId="0" borderId="29" applyAlignment="1" pivotButton="0" quotePrefix="0" xfId="0">
      <alignment horizontal="center" vertical="center"/>
    </xf>
    <xf numFmtId="1" fontId="67" fillId="0" borderId="30" applyAlignment="1" pivotButton="0" quotePrefix="0" xfId="0">
      <alignment horizontal="center" vertical="center"/>
    </xf>
    <xf numFmtId="1" fontId="67" fillId="0" borderId="3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 wrapText="1"/>
    </xf>
    <xf numFmtId="0" fontId="65" fillId="0" borderId="23" applyAlignment="1" pivotButton="0" quotePrefix="0" xfId="0">
      <alignment horizontal="center" vertical="center" wrapText="1"/>
    </xf>
    <xf numFmtId="14" fontId="67" fillId="0" borderId="21" applyAlignment="1" pivotButton="0" quotePrefix="0" xfId="0">
      <alignment horizontal="center" vertical="center"/>
    </xf>
    <xf numFmtId="14" fontId="67" fillId="0" borderId="22" applyAlignment="1" pivotButton="0" quotePrefix="0" xfId="0">
      <alignment horizontal="center" vertical="center"/>
    </xf>
    <xf numFmtId="14" fontId="67" fillId="0" borderId="23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2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64" fontId="67" fillId="0" borderId="55" applyAlignment="1" pivotButton="0" quotePrefix="0" xfId="0">
      <alignment horizontal="center" vertical="center"/>
    </xf>
    <xf numFmtId="164" fontId="67" fillId="0" borderId="72" applyAlignment="1" pivotButton="0" quotePrefix="0" xfId="0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164" fontId="67" fillId="0" borderId="66" applyAlignment="1" pivotButton="0" quotePrefix="0" xfId="0">
      <alignment horizontal="center" vertical="center"/>
    </xf>
    <xf numFmtId="164" fontId="67" fillId="0" borderId="117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/>
    </xf>
    <xf numFmtId="0" fontId="67" fillId="0" borderId="23" applyAlignment="1" pivotButton="0" quotePrefix="0" xfId="0">
      <alignment horizontal="center" vertical="center"/>
    </xf>
    <xf numFmtId="164" fontId="67" fillId="0" borderId="21" applyAlignment="1" pivotButton="0" quotePrefix="0" xfId="0">
      <alignment horizontal="center" vertical="center"/>
    </xf>
    <xf numFmtId="164" fontId="67" fillId="0" borderId="23" applyAlignment="1" pivotButton="0" quotePrefix="0" xfId="0">
      <alignment horizontal="center" vertical="center"/>
    </xf>
    <xf numFmtId="0" fontId="65" fillId="0" borderId="6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1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114" applyAlignment="1" pivotButton="0" quotePrefix="0" xfId="0">
      <alignment horizontal="center" vertical="center"/>
    </xf>
    <xf numFmtId="0" fontId="65" fillId="0" borderId="30" applyAlignment="1" pivotButton="0" quotePrefix="0" xfId="0">
      <alignment horizontal="center" vertical="center"/>
    </xf>
    <xf numFmtId="0" fontId="65" fillId="0" borderId="31" applyAlignment="1" pivotButton="0" quotePrefix="0" xfId="0">
      <alignment horizontal="center" vertical="center"/>
    </xf>
    <xf numFmtId="0" fontId="65" fillId="0" borderId="29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2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5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118" applyAlignment="1" pivotButton="0" quotePrefix="0" xfId="0">
      <alignment horizontal="center" vertical="center"/>
    </xf>
    <xf numFmtId="164" fontId="67" fillId="0" borderId="65" applyAlignment="1" pivotButton="0" quotePrefix="0" xfId="0">
      <alignment horizontal="center" vertical="center"/>
    </xf>
    <xf numFmtId="164" fontId="67" fillId="0" borderId="118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165" fontId="4" fillId="0" borderId="59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165" fontId="4" fillId="0" borderId="71" applyAlignment="1" pivotButton="0" quotePrefix="0" xfId="0">
      <alignment horizontal="center" vertical="center" wrapText="1"/>
    </xf>
    <xf numFmtId="165" fontId="4" fillId="0" borderId="35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65" fillId="0" borderId="53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54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4" fillId="0" borderId="63" applyAlignment="1" pivotButton="0" quotePrefix="0" xfId="0">
      <alignment horizontal="center" vertical="center" wrapText="1"/>
    </xf>
    <xf numFmtId="0" fontId="4" fillId="0" borderId="113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0" borderId="11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67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72" fillId="0" borderId="59" applyAlignment="1" pivotButton="0" quotePrefix="0" xfId="0">
      <alignment horizontal="center" vertical="center" wrapText="1"/>
    </xf>
    <xf numFmtId="165" fontId="72" fillId="0" borderId="34" applyAlignment="1" pivotButton="0" quotePrefix="0" xfId="0">
      <alignment horizontal="center" vertical="center" wrapText="1"/>
    </xf>
    <xf numFmtId="165" fontId="72" fillId="0" borderId="71" applyAlignment="1" pivotButton="0" quotePrefix="0" xfId="0">
      <alignment horizontal="center" vertical="center" wrapText="1"/>
    </xf>
    <xf numFmtId="165" fontId="72" fillId="0" borderId="35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14" fontId="3" fillId="0" borderId="33" applyAlignment="1" pivotButton="0" quotePrefix="0" xfId="0">
      <alignment horizontal="center" vertical="center"/>
    </xf>
    <xf numFmtId="0" fontId="3" fillId="0" borderId="62" applyAlignment="1" pivotButton="0" quotePrefix="0" xfId="0">
      <alignment horizontal="center" vertical="center" wrapText="1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65" fillId="0" borderId="59" applyAlignment="1" pivotButton="0" quotePrefix="0" xfId="0">
      <alignment horizontal="center" vertical="center" wrapText="1"/>
    </xf>
    <xf numFmtId="165" fontId="65" fillId="0" borderId="34" applyAlignment="1" pivotButton="0" quotePrefix="0" xfId="0">
      <alignment horizontal="center" vertical="center" wrapText="1"/>
    </xf>
    <xf numFmtId="165" fontId="65" fillId="0" borderId="71" applyAlignment="1" pivotButton="0" quotePrefix="0" xfId="0">
      <alignment horizontal="center" vertical="center" wrapText="1"/>
    </xf>
    <xf numFmtId="165" fontId="65" fillId="0" borderId="35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 wrapText="1"/>
    </xf>
    <xf numFmtId="0" fontId="74" fillId="0" borderId="29" applyAlignment="1" pivotButton="0" quotePrefix="0" xfId="0">
      <alignment horizontal="center" vertical="center"/>
    </xf>
    <xf numFmtId="0" fontId="74" fillId="0" borderId="31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 wrapText="1"/>
    </xf>
    <xf numFmtId="0" fontId="65" fillId="0" borderId="72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164" fontId="67" fillId="0" borderId="55" applyAlignment="1" pivotButton="0" quotePrefix="0" xfId="0">
      <alignment horizontal="center" vertical="center" wrapText="1"/>
    </xf>
    <xf numFmtId="164" fontId="67" fillId="0" borderId="72" applyAlignment="1" pivotButton="0" quotePrefix="0" xfId="0">
      <alignment horizontal="center" vertical="center" wrapText="1"/>
    </xf>
    <xf numFmtId="0" fontId="65" fillId="0" borderId="4" applyAlignment="1" pivotButton="0" quotePrefix="0" xfId="0">
      <alignment horizontal="center" vertical="center" wrapText="1"/>
    </xf>
    <xf numFmtId="0" fontId="65" fillId="0" borderId="117" applyAlignment="1" pivotButton="0" quotePrefix="0" xfId="0">
      <alignment horizontal="center" vertical="center" wrapText="1"/>
    </xf>
    <xf numFmtId="164" fontId="67" fillId="0" borderId="66" applyAlignment="1" pivotButton="0" quotePrefix="0" xfId="0">
      <alignment horizontal="center" vertical="center" wrapText="1"/>
    </xf>
    <xf numFmtId="164" fontId="67" fillId="0" borderId="117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7" fillId="0" borderId="23" applyAlignment="1" pivotButton="0" quotePrefix="0" xfId="0">
      <alignment horizontal="center" vertical="center" wrapText="1"/>
    </xf>
    <xf numFmtId="164" fontId="67" fillId="0" borderId="21" applyAlignment="1" pivotButton="0" quotePrefix="0" xfId="0">
      <alignment horizontal="center" vertical="center" wrapText="1"/>
    </xf>
    <xf numFmtId="164" fontId="67" fillId="0" borderId="23" applyAlignment="1" pivotButton="0" quotePrefix="0" xfId="0">
      <alignment horizontal="center" vertical="center" wrapText="1"/>
    </xf>
    <xf numFmtId="0" fontId="65" fillId="0" borderId="44" applyAlignment="1" pivotButton="0" quotePrefix="0" xfId="0">
      <alignment horizontal="center" vertical="center" wrapText="1"/>
    </xf>
    <xf numFmtId="0" fontId="65" fillId="0" borderId="118" applyAlignment="1" pivotButton="0" quotePrefix="0" xfId="0">
      <alignment horizontal="center" vertical="center" wrapText="1"/>
    </xf>
    <xf numFmtId="164" fontId="67" fillId="0" borderId="65" applyAlignment="1" pivotButton="0" quotePrefix="0" xfId="0">
      <alignment horizontal="center" vertical="center" wrapText="1"/>
    </xf>
    <xf numFmtId="164" fontId="67" fillId="0" borderId="118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 wrapText="1"/>
    </xf>
    <xf numFmtId="0" fontId="65" fillId="0" borderId="51" applyAlignment="1" pivotButton="0" quotePrefix="0" xfId="0">
      <alignment horizontal="center" vertical="center" wrapText="1"/>
    </xf>
    <xf numFmtId="0" fontId="5" fillId="0" borderId="112" applyAlignment="1" pivotButton="0" quotePrefix="0" xfId="0">
      <alignment horizontal="center" vertical="center" wrapText="1"/>
    </xf>
    <xf numFmtId="1" fontId="3" fillId="0" borderId="29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1" fontId="65" fillId="0" borderId="29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center" vertical="center"/>
    </xf>
    <xf numFmtId="1" fontId="4" fillId="0" borderId="29" applyAlignment="1" pivotButton="0" quotePrefix="0" xfId="0">
      <alignment horizontal="center" vertical="center"/>
    </xf>
    <xf numFmtId="0" fontId="74" fillId="0" borderId="34" applyAlignment="1" pivotButton="0" quotePrefix="0" xfId="0">
      <alignment horizontal="center" vertical="center"/>
    </xf>
    <xf numFmtId="0" fontId="74" fillId="0" borderId="63" applyAlignment="1" pivotButton="0" quotePrefix="0" xfId="0">
      <alignment horizontal="center" vertical="center"/>
    </xf>
    <xf numFmtId="0" fontId="74" fillId="0" borderId="52" applyAlignment="1" pivotButton="0" quotePrefix="0" xfId="0">
      <alignment horizontal="center" vertical="center"/>
    </xf>
    <xf numFmtId="0" fontId="74" fillId="0" borderId="67" applyAlignment="1" pivotButton="0" quotePrefix="0" xfId="0">
      <alignment horizontal="center" vertical="center"/>
    </xf>
    <xf numFmtId="0" fontId="74" fillId="0" borderId="58" applyAlignment="1" pivotButton="0" quotePrefix="0" xfId="0">
      <alignment horizontal="center" vertical="center"/>
    </xf>
    <xf numFmtId="0" fontId="74" fillId="0" borderId="62" applyAlignment="1" pivotButton="0" quotePrefix="0" xfId="0">
      <alignment horizontal="center" vertical="center"/>
    </xf>
    <xf numFmtId="0" fontId="74" fillId="0" borderId="21" applyAlignment="1" pivotButton="0" quotePrefix="0" xfId="0">
      <alignment horizontal="center" vertical="center"/>
    </xf>
    <xf numFmtId="0" fontId="74" fillId="0" borderId="22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78" fillId="0" borderId="125" applyAlignment="1" pivotButton="0" quotePrefix="0" xfId="0">
      <alignment horizontal="center" vertical="center"/>
    </xf>
    <xf numFmtId="0" fontId="0" fillId="0" borderId="126" pivotButton="0" quotePrefix="0" xfId="0"/>
    <xf numFmtId="0" fontId="0" fillId="0" borderId="127" pivotButton="0" quotePrefix="0" xfId="0"/>
    <xf numFmtId="0" fontId="4" fillId="0" borderId="50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14" fontId="63" fillId="0" borderId="33" applyAlignment="1" pivotButton="0" quotePrefix="0" xfId="0">
      <alignment horizontal="center" vertical="center" wrapText="1"/>
    </xf>
    <xf numFmtId="0" fontId="63" fillId="0" borderId="33" applyAlignment="1" pivotButton="0" quotePrefix="0" xfId="0">
      <alignment horizontal="center" vertical="center" wrapText="1"/>
    </xf>
    <xf numFmtId="0" fontId="63" fillId="0" borderId="34" applyAlignment="1" pivotButton="0" quotePrefix="0" xfId="0">
      <alignment horizontal="center" vertical="center" wrapText="1"/>
    </xf>
    <xf numFmtId="1" fontId="4" fillId="0" borderId="29" applyAlignment="1" pivotButton="0" quotePrefix="0" xfId="0">
      <alignment horizontal="center" vertical="center" wrapText="1"/>
    </xf>
    <xf numFmtId="14" fontId="63" fillId="0" borderId="21" applyAlignment="1" pivotButton="0" quotePrefix="0" xfId="0">
      <alignment horizontal="center" vertical="center" wrapText="1"/>
    </xf>
    <xf numFmtId="14" fontId="63" fillId="0" borderId="22" applyAlignment="1" pivotButton="0" quotePrefix="0" xfId="0">
      <alignment horizontal="center" vertical="center" wrapText="1"/>
    </xf>
    <xf numFmtId="14" fontId="63" fillId="0" borderId="23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1" fontId="63" fillId="0" borderId="21" applyAlignment="1" pivotButton="0" quotePrefix="0" xfId="0">
      <alignment horizontal="center" vertical="center" wrapText="1"/>
    </xf>
    <xf numFmtId="1" fontId="63" fillId="0" borderId="23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4" fontId="4" fillId="0" borderId="33" applyAlignment="1" pivotButton="0" quotePrefix="0" xfId="0">
      <alignment horizontal="center" vertical="center" wrapText="1"/>
    </xf>
    <xf numFmtId="0" fontId="4" fillId="0" borderId="114" applyAlignment="1" pivotButton="0" quotePrefix="0" xfId="0">
      <alignment horizontal="center" vertical="center" wrapText="1"/>
    </xf>
    <xf numFmtId="0" fontId="4" fillId="0" borderId="62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63" fillId="0" borderId="2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8" fillId="0" borderId="21" applyAlignment="1" pivotButton="0" quotePrefix="0" xfId="0">
      <alignment horizontal="center" vertical="center"/>
    </xf>
    <xf numFmtId="0" fontId="68" fillId="0" borderId="22" applyAlignment="1" pivotButton="0" quotePrefix="0" xfId="0">
      <alignment horizontal="center" vertical="center"/>
    </xf>
    <xf numFmtId="0" fontId="68" fillId="0" borderId="23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59" applyAlignment="1" pivotButton="0" quotePrefix="0" xfId="0">
      <alignment horizontal="center" wrapText="1"/>
    </xf>
    <xf numFmtId="0" fontId="0" fillId="0" borderId="58" applyAlignment="1" pivotButton="0" quotePrefix="0" xfId="0">
      <alignment horizontal="center" wrapText="1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17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57" applyAlignment="1" pivotButton="0" quotePrefix="0" xfId="0">
      <alignment horizontal="center"/>
    </xf>
    <xf numFmtId="0" fontId="5" fillId="0" borderId="7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22" pivotButton="0" quotePrefix="0" xfId="0"/>
    <xf numFmtId="0" fontId="0" fillId="0" borderId="51" pivotButton="0" quotePrefix="0" xfId="0"/>
    <xf numFmtId="14" fontId="2" fillId="0" borderId="34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14" fontId="6" fillId="0" borderId="8" applyAlignment="1" pivotButton="0" quotePrefix="0" xfId="0">
      <alignment horizontal="center" vertical="center"/>
    </xf>
    <xf numFmtId="0" fontId="0" fillId="0" borderId="23" pivotButton="0" quotePrefix="0" xfId="0"/>
    <xf numFmtId="165" fontId="5" fillId="0" borderId="52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53" pivotButton="0" quotePrefix="0" xfId="0"/>
    <xf numFmtId="0" fontId="0" fillId="0" borderId="24" pivotButton="0" quotePrefix="0" xfId="0"/>
    <xf numFmtId="0" fontId="0" fillId="0" borderId="2" pivotButton="0" quotePrefix="0" xfId="0"/>
    <xf numFmtId="0" fontId="0" fillId="0" borderId="69" pivotButton="0" quotePrefix="0" xfId="0"/>
    <xf numFmtId="0" fontId="0" fillId="0" borderId="71" pivotButton="0" quotePrefix="0" xfId="0"/>
    <xf numFmtId="0" fontId="0" fillId="0" borderId="35" pivotButton="0" quotePrefix="0" xfId="0"/>
    <xf numFmtId="0" fontId="0" fillId="0" borderId="39" pivotButton="0" quotePrefix="0" xfId="0"/>
    <xf numFmtId="0" fontId="0" fillId="0" borderId="6" pivotButton="0" quotePrefix="0" xfId="0"/>
    <xf numFmtId="0" fontId="0" fillId="0" borderId="40" pivotButton="0" quotePrefix="0" xfId="0"/>
    <xf numFmtId="0" fontId="0" fillId="0" borderId="54" pivotButton="0" quotePrefix="0" xfId="0"/>
    <xf numFmtId="0" fontId="0" fillId="0" borderId="116" pivotButton="0" quotePrefix="0" xfId="0"/>
    <xf numFmtId="0" fontId="0" fillId="0" borderId="62" pivotButton="0" quotePrefix="0" xfId="0"/>
    <xf numFmtId="0" fontId="5" fillId="0" borderId="26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67" pivotButton="0" quotePrefix="0" xfId="0"/>
    <xf numFmtId="0" fontId="0" fillId="0" borderId="60" pivotButton="0" quotePrefix="0" xfId="0"/>
    <xf numFmtId="0" fontId="0" fillId="0" borderId="32" pivotButton="0" quotePrefix="0" xfId="0"/>
    <xf numFmtId="0" fontId="0" fillId="0" borderId="68" pivotButton="0" quotePrefix="0" xfId="0"/>
    <xf numFmtId="0" fontId="0" fillId="0" borderId="118" pivotButton="0" quotePrefix="0" xfId="0"/>
    <xf numFmtId="164" fontId="6" fillId="0" borderId="54" applyAlignment="1" pivotButton="0" quotePrefix="0" xfId="0">
      <alignment horizontal="center" vertical="center"/>
    </xf>
    <xf numFmtId="0" fontId="0" fillId="0" borderId="72" pivotButton="0" quotePrefix="0" xfId="0"/>
    <xf numFmtId="164" fontId="6" fillId="0" borderId="48" applyAlignment="1" pivotButton="0" quotePrefix="0" xfId="0">
      <alignment horizontal="center" vertical="center"/>
    </xf>
    <xf numFmtId="0" fontId="0" fillId="0" borderId="117" pivotButton="0" quotePrefix="0" xfId="0"/>
    <xf numFmtId="164" fontId="6" fillId="0" borderId="50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 vertical="center"/>
    </xf>
    <xf numFmtId="0" fontId="0" fillId="0" borderId="114" pivotButton="0" quotePrefix="0" xfId="0"/>
    <xf numFmtId="14" fontId="61" fillId="0" borderId="8" applyAlignment="1" pivotButton="0" quotePrefix="0" xfId="0">
      <alignment horizontal="center" vertical="center"/>
    </xf>
    <xf numFmtId="14" fontId="61" fillId="0" borderId="34" applyAlignment="1" pivotButton="0" quotePrefix="0" xfId="0">
      <alignment horizontal="center" vertical="center"/>
    </xf>
    <xf numFmtId="1" fontId="61" fillId="0" borderId="8" applyAlignment="1" pivotButton="0" quotePrefix="0" xfId="0">
      <alignment horizontal="center" vertical="center"/>
    </xf>
    <xf numFmtId="0" fontId="68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/>
    </xf>
    <xf numFmtId="0" fontId="0" fillId="0" borderId="21" applyAlignment="1" pivotButton="0" quotePrefix="0" xfId="0">
      <alignment horizontal="center" wrapText="1"/>
    </xf>
    <xf numFmtId="0" fontId="0" fillId="0" borderId="8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5" fillId="0" borderId="47" applyAlignment="1" pivotButton="0" quotePrefix="0" xfId="0">
      <alignment horizontal="center"/>
    </xf>
    <xf numFmtId="0" fontId="0" fillId="0" borderId="37" pivotButton="0" quotePrefix="0" xfId="0"/>
    <xf numFmtId="0" fontId="0" fillId="0" borderId="57" pivotButton="0" quotePrefix="0" xfId="0"/>
  </cellXfs>
  <cellStyles count="7100">
    <cellStyle name="Normal" xfId="0" builtinId="0"/>
    <cellStyle name="Normal 2" xfId="1"/>
    <cellStyle name="Normal 4" xfId="2"/>
    <cellStyle name="Normal 6" xfId="3"/>
    <cellStyle name="Normal_GM2" xfId="4"/>
    <cellStyle name="Normal 2 10" xfId="5"/>
    <cellStyle name="Normal 5" xfId="6"/>
    <cellStyle name="Normal 9" xfId="7"/>
    <cellStyle name="Normal 2 2" xfId="8"/>
    <cellStyle name="Normal 7" xfId="9"/>
    <cellStyle name="Normal 3" xfId="10"/>
    <cellStyle name="20% - Accent1 2" xfId="11"/>
    <cellStyle name="20% - Accent1 10" xfId="12"/>
    <cellStyle name="20% - Accent1 2 2" xfId="13"/>
    <cellStyle name="20% - Accent1 2 2 2" xfId="14"/>
    <cellStyle name="20% - Accent1 2 2 2 2" xfId="15"/>
    <cellStyle name="20% - Accent1 2 2 2 2 2" xfId="16"/>
    <cellStyle name="20% - Accent1 2 2 2 2 2 2" xfId="17"/>
    <cellStyle name="20% - Accent1 2 2 2 2 2 2 2" xfId="18"/>
    <cellStyle name="20% - Accent1 2 2 2 2 2 2 2 2" xfId="19"/>
    <cellStyle name="20% - Accent1 2 2 2 2 2 2 2 2 2" xfId="20"/>
    <cellStyle name="20% - Accent1 2 2 2 2 2 2 2 2 2 2" xfId="21"/>
    <cellStyle name="20% - Accent1 2 2 2 2 2 2 2 2 2 2 2" xfId="22"/>
    <cellStyle name="20% - Accent1 2 2 2 2 2 2 2 3" xfId="23"/>
    <cellStyle name="20% - Accent1 2 2 2 2 2 2 3" xfId="24"/>
    <cellStyle name="20% - Accent1 2 2 2 2 2 3" xfId="25"/>
    <cellStyle name="20% - Accent1 2 2 2 2 2 4" xfId="26"/>
    <cellStyle name="20% - Accent1 2 2 2 2 3" xfId="27"/>
    <cellStyle name="20% - Accent1 2 2 2 2 4" xfId="28"/>
    <cellStyle name="20% - Accent1 2 2 2 3" xfId="29"/>
    <cellStyle name="20% - Accent1 2 2 2 4" xfId="30"/>
    <cellStyle name="20% - Accent1 2 2 2 5" xfId="31"/>
    <cellStyle name="20% - Accent1 2 2 3" xfId="32"/>
    <cellStyle name="20% - Accent1 2 2 4" xfId="33"/>
    <cellStyle name="20% - Accent1 2 2 5" xfId="34"/>
    <cellStyle name="20% - Accent1 2 3" xfId="35"/>
    <cellStyle name="20% - Accent1 2 4" xfId="36"/>
    <cellStyle name="20% - Accent1 2 5" xfId="37"/>
    <cellStyle name="20% - Accent1 2 6" xfId="38"/>
    <cellStyle name="20% - Accent1 2 7" xfId="39"/>
    <cellStyle name="20% - Accent1 2 8" xfId="40"/>
    <cellStyle name="20% - Accent1 2 9" xfId="41"/>
    <cellStyle name="20% - Accent1 3" xfId="42"/>
    <cellStyle name="20% - Accent1 3 2" xfId="43"/>
    <cellStyle name="20% - Accent1 3 3" xfId="44"/>
    <cellStyle name="20% - Accent1 4" xfId="45"/>
    <cellStyle name="20% - Accent1 4 2" xfId="46"/>
    <cellStyle name="20% - Accent1 4 2 2" xfId="47"/>
    <cellStyle name="20% - Accent1 4 2 2 2" xfId="48"/>
    <cellStyle name="20% - Accent1 4 2 2 2 2" xfId="49"/>
    <cellStyle name="20% - Accent1 4 2 2 2 2 2" xfId="50"/>
    <cellStyle name="20% - Accent1 4 2 2 3" xfId="51"/>
    <cellStyle name="20% - Accent1 4 2 3" xfId="52"/>
    <cellStyle name="20% - Accent1 4 3" xfId="53"/>
    <cellStyle name="20% - Accent1 4 4" xfId="54"/>
    <cellStyle name="20% - Accent1 4 5" xfId="55"/>
    <cellStyle name="20% - Accent1 4 6" xfId="56"/>
    <cellStyle name="20% - Accent1 5" xfId="57"/>
    <cellStyle name="20% - Accent1 5 2" xfId="58"/>
    <cellStyle name="20% - Accent1 5 3" xfId="59"/>
    <cellStyle name="20% - Accent1 5 4" xfId="60"/>
    <cellStyle name="20% - Accent1 5 5" xfId="61"/>
    <cellStyle name="20% - Accent1 6" xfId="62"/>
    <cellStyle name="20% - Accent1 6 2" xfId="63"/>
    <cellStyle name="20% - Accent1 6 3" xfId="64"/>
    <cellStyle name="20% - Accent1 7" xfId="65"/>
    <cellStyle name="20% - Accent1 7 2" xfId="66"/>
    <cellStyle name="20% - Accent1 7 3" xfId="67"/>
    <cellStyle name="20% - Accent1 8" xfId="68"/>
    <cellStyle name="20% - Accent1 8 2" xfId="69"/>
    <cellStyle name="20% - Accent1 9" xfId="70"/>
    <cellStyle name="20% - Accent1 9 2" xfId="71"/>
    <cellStyle name="20% - Accent2 2" xfId="72"/>
    <cellStyle name="20% - Accent2 10" xfId="73"/>
    <cellStyle name="20% - Accent2 2 2" xfId="74"/>
    <cellStyle name="20% - Accent2 2 2 2" xfId="75"/>
    <cellStyle name="20% - Accent2 2 2 2 2" xfId="76"/>
    <cellStyle name="20% - Accent2 2 2 2 2 2" xfId="77"/>
    <cellStyle name="20% - Accent2 2 2 2 2 2 2" xfId="78"/>
    <cellStyle name="20% - Accent2 2 2 2 2 2 2 2" xfId="79"/>
    <cellStyle name="20% - Accent2 2 2 2 2 2 2 2 2" xfId="80"/>
    <cellStyle name="20% - Accent2 2 2 2 2 2 2 2 2 2" xfId="81"/>
    <cellStyle name="20% - Accent2 2 2 2 2 2 2 2 2 2 2" xfId="82"/>
    <cellStyle name="20% - Accent2 2 2 2 2 2 2 2 2 2 2 2" xfId="83"/>
    <cellStyle name="20% - Accent2 2 2 2 2 2 2 2 3" xfId="84"/>
    <cellStyle name="20% - Accent2 2 2 2 2 2 2 3" xfId="85"/>
    <cellStyle name="20% - Accent2 2 2 2 2 2 3" xfId="86"/>
    <cellStyle name="20% - Accent2 2 2 2 2 2 4" xfId="87"/>
    <cellStyle name="20% - Accent2 2 2 2 2 3" xfId="88"/>
    <cellStyle name="20% - Accent2 2 2 2 2 4" xfId="89"/>
    <cellStyle name="20% - Accent2 2 2 2 3" xfId="90"/>
    <cellStyle name="20% - Accent2 2 2 2 4" xfId="91"/>
    <cellStyle name="20% - Accent2 2 2 2 5" xfId="92"/>
    <cellStyle name="20% - Accent2 2 2 3" xfId="93"/>
    <cellStyle name="20% - Accent2 2 2 4" xfId="94"/>
    <cellStyle name="20% - Accent2 2 2 5" xfId="95"/>
    <cellStyle name="20% - Accent2 2 3" xfId="96"/>
    <cellStyle name="20% - Accent2 2 4" xfId="97"/>
    <cellStyle name="20% - Accent2 2 5" xfId="98"/>
    <cellStyle name="20% - Accent2 2 6" xfId="99"/>
    <cellStyle name="20% - Accent2 2 7" xfId="100"/>
    <cellStyle name="20% - Accent2 2 8" xfId="101"/>
    <cellStyle name="20% - Accent2 2 9" xfId="102"/>
    <cellStyle name="20% - Accent2 3" xfId="103"/>
    <cellStyle name="20% - Accent2 3 2" xfId="104"/>
    <cellStyle name="20% - Accent2 3 3" xfId="105"/>
    <cellStyle name="20% - Accent2 4" xfId="106"/>
    <cellStyle name="20% - Accent2 4 2" xfId="107"/>
    <cellStyle name="20% - Accent2 4 2 2" xfId="108"/>
    <cellStyle name="20% - Accent2 4 2 2 2" xfId="109"/>
    <cellStyle name="20% - Accent2 4 2 2 2 2" xfId="110"/>
    <cellStyle name="20% - Accent2 4 2 2 2 2 2" xfId="111"/>
    <cellStyle name="20% - Accent2 4 2 2 3" xfId="112"/>
    <cellStyle name="20% - Accent2 4 2 3" xfId="113"/>
    <cellStyle name="20% - Accent2 4 3" xfId="114"/>
    <cellStyle name="20% - Accent2 4 4" xfId="115"/>
    <cellStyle name="20% - Accent2 4 5" xfId="116"/>
    <cellStyle name="20% - Accent2 4 6" xfId="117"/>
    <cellStyle name="20% - Accent2 5" xfId="118"/>
    <cellStyle name="20% - Accent2 5 2" xfId="119"/>
    <cellStyle name="20% - Accent2 5 3" xfId="120"/>
    <cellStyle name="20% - Accent2 5 4" xfId="121"/>
    <cellStyle name="20% - Accent2 5 5" xfId="122"/>
    <cellStyle name="20% - Accent2 6" xfId="123"/>
    <cellStyle name="20% - Accent2 6 2" xfId="124"/>
    <cellStyle name="20% - Accent2 6 3" xfId="125"/>
    <cellStyle name="20% - Accent2 7" xfId="126"/>
    <cellStyle name="20% - Accent2 7 2" xfId="127"/>
    <cellStyle name="20% - Accent2 7 3" xfId="128"/>
    <cellStyle name="20% - Accent2 8" xfId="129"/>
    <cellStyle name="20% - Accent2 8 2" xfId="130"/>
    <cellStyle name="20% - Accent2 9" xfId="131"/>
    <cellStyle name="20% - Accent2 9 2" xfId="132"/>
    <cellStyle name="20% - Accent3 2" xfId="133"/>
    <cellStyle name="20% - Accent3 10" xfId="134"/>
    <cellStyle name="20% - Accent3 2 2" xfId="135"/>
    <cellStyle name="20% - Accent3 2 2 2" xfId="136"/>
    <cellStyle name="20% - Accent3 2 2 2 2" xfId="137"/>
    <cellStyle name="20% - Accent3 2 2 2 2 2" xfId="138"/>
    <cellStyle name="20% - Accent3 2 2 2 2 2 2" xfId="139"/>
    <cellStyle name="20% - Accent3 2 2 2 2 2 2 2" xfId="140"/>
    <cellStyle name="20% - Accent3 2 2 2 2 2 2 2 2" xfId="141"/>
    <cellStyle name="20% - Accent3 2 2 2 2 2 2 2 2 2" xfId="142"/>
    <cellStyle name="20% - Accent3 2 2 2 2 2 2 2 2 2 2" xfId="143"/>
    <cellStyle name="20% - Accent3 2 2 2 2 2 2 2 2 2 2 2" xfId="144"/>
    <cellStyle name="20% - Accent3 2 2 2 2 2 2 2 3" xfId="145"/>
    <cellStyle name="20% - Accent3 2 2 2 2 2 2 3" xfId="146"/>
    <cellStyle name="20% - Accent3 2 2 2 2 2 3" xfId="147"/>
    <cellStyle name="20% - Accent3 2 2 2 2 2 4" xfId="148"/>
    <cellStyle name="20% - Accent3 2 2 2 2 3" xfId="149"/>
    <cellStyle name="20% - Accent3 2 2 2 2 4" xfId="150"/>
    <cellStyle name="20% - Accent3 2 2 2 3" xfId="151"/>
    <cellStyle name="20% - Accent3 2 2 2 4" xfId="152"/>
    <cellStyle name="20% - Accent3 2 2 2 5" xfId="153"/>
    <cellStyle name="20% - Accent3 2 2 3" xfId="154"/>
    <cellStyle name="20% - Accent3 2 2 4" xfId="155"/>
    <cellStyle name="20% - Accent3 2 2 5" xfId="156"/>
    <cellStyle name="20% - Accent3 2 3" xfId="157"/>
    <cellStyle name="20% - Accent3 2 4" xfId="158"/>
    <cellStyle name="20% - Accent3 2 5" xfId="159"/>
    <cellStyle name="20% - Accent3 2 6" xfId="160"/>
    <cellStyle name="20% - Accent3 2 7" xfId="161"/>
    <cellStyle name="20% - Accent3 2 8" xfId="162"/>
    <cellStyle name="20% - Accent3 2 9" xfId="163"/>
    <cellStyle name="20% - Accent3 3" xfId="164"/>
    <cellStyle name="20% - Accent3 3 2" xfId="165"/>
    <cellStyle name="20% - Accent3 3 3" xfId="166"/>
    <cellStyle name="20% - Accent3 4" xfId="167"/>
    <cellStyle name="20% - Accent3 4 2" xfId="168"/>
    <cellStyle name="20% - Accent3 4 2 2" xfId="169"/>
    <cellStyle name="20% - Accent3 4 2 2 2" xfId="170"/>
    <cellStyle name="20% - Accent3 4 2 2 2 2" xfId="171"/>
    <cellStyle name="20% - Accent3 4 2 2 2 2 2" xfId="172"/>
    <cellStyle name="20% - Accent3 4 2 2 3" xfId="173"/>
    <cellStyle name="20% - Accent3 4 2 3" xfId="174"/>
    <cellStyle name="20% - Accent3 4 3" xfId="175"/>
    <cellStyle name="20% - Accent3 4 4" xfId="176"/>
    <cellStyle name="20% - Accent3 4 5" xfId="177"/>
    <cellStyle name="20% - Accent3 4 6" xfId="178"/>
    <cellStyle name="20% - Accent3 5" xfId="179"/>
    <cellStyle name="20% - Accent3 5 2" xfId="180"/>
    <cellStyle name="20% - Accent3 5 3" xfId="181"/>
    <cellStyle name="20% - Accent3 5 4" xfId="182"/>
    <cellStyle name="20% - Accent3 5 5" xfId="183"/>
    <cellStyle name="20% - Accent3 6" xfId="184"/>
    <cellStyle name="20% - Accent3 6 2" xfId="185"/>
    <cellStyle name="20% - Accent3 6 3" xfId="186"/>
    <cellStyle name="20% - Accent3 7" xfId="187"/>
    <cellStyle name="20% - Accent3 7 2" xfId="188"/>
    <cellStyle name="20% - Accent3 7 3" xfId="189"/>
    <cellStyle name="20% - Accent3 8" xfId="190"/>
    <cellStyle name="20% - Accent3 8 2" xfId="191"/>
    <cellStyle name="20% - Accent3 9" xfId="192"/>
    <cellStyle name="20% - Accent3 9 2" xfId="193"/>
    <cellStyle name="20% - Accent4 2" xfId="194"/>
    <cellStyle name="20% - Accent4 10" xfId="195"/>
    <cellStyle name="20% - Accent4 2 2" xfId="196"/>
    <cellStyle name="20% - Accent4 2 2 2" xfId="197"/>
    <cellStyle name="20% - Accent4 2 2 2 2" xfId="198"/>
    <cellStyle name="20% - Accent4 2 2 2 2 2" xfId="199"/>
    <cellStyle name="20% - Accent4 2 2 2 2 2 2" xfId="200"/>
    <cellStyle name="20% - Accent4 2 2 2 2 2 2 2" xfId="201"/>
    <cellStyle name="20% - Accent4 2 2 2 2 2 2 2 2" xfId="202"/>
    <cellStyle name="20% - Accent4 2 2 2 2 2 2 2 2 2" xfId="203"/>
    <cellStyle name="20% - Accent4 2 2 2 2 2 2 2 2 2 2" xfId="204"/>
    <cellStyle name="20% - Accent4 2 2 2 2 2 2 2 2 2 2 2" xfId="205"/>
    <cellStyle name="20% - Accent4 2 2 2 2 2 2 2 3" xfId="206"/>
    <cellStyle name="20% - Accent4 2 2 2 2 2 2 3" xfId="207"/>
    <cellStyle name="20% - Accent4 2 2 2 2 2 3" xfId="208"/>
    <cellStyle name="20% - Accent4 2 2 2 2 2 4" xfId="209"/>
    <cellStyle name="20% - Accent4 2 2 2 2 3" xfId="210"/>
    <cellStyle name="20% - Accent4 2 2 2 2 4" xfId="211"/>
    <cellStyle name="20% - Accent4 2 2 2 3" xfId="212"/>
    <cellStyle name="20% - Accent4 2 2 2 4" xfId="213"/>
    <cellStyle name="20% - Accent4 2 2 2 5" xfId="214"/>
    <cellStyle name="20% - Accent4 2 2 3" xfId="215"/>
    <cellStyle name="20% - Accent4 2 2 4" xfId="216"/>
    <cellStyle name="20% - Accent4 2 2 5" xfId="217"/>
    <cellStyle name="20% - Accent4 2 3" xfId="218"/>
    <cellStyle name="20% - Accent4 2 4" xfId="219"/>
    <cellStyle name="20% - Accent4 2 5" xfId="220"/>
    <cellStyle name="20% - Accent4 2 6" xfId="221"/>
    <cellStyle name="20% - Accent4 2 7" xfId="222"/>
    <cellStyle name="20% - Accent4 2 8" xfId="223"/>
    <cellStyle name="20% - Accent4 2 9" xfId="224"/>
    <cellStyle name="20% - Accent4 3" xfId="225"/>
    <cellStyle name="20% - Accent4 3 2" xfId="226"/>
    <cellStyle name="20% - Accent4 3 3" xfId="227"/>
    <cellStyle name="20% - Accent4 4" xfId="228"/>
    <cellStyle name="20% - Accent4 4 2" xfId="229"/>
    <cellStyle name="20% - Accent4 4 2 2" xfId="230"/>
    <cellStyle name="20% - Accent4 4 2 2 2" xfId="231"/>
    <cellStyle name="20% - Accent4 4 2 2 2 2" xfId="232"/>
    <cellStyle name="20% - Accent4 4 2 2 2 2 2" xfId="233"/>
    <cellStyle name="20% - Accent4 4 2 2 3" xfId="234"/>
    <cellStyle name="20% - Accent4 4 2 3" xfId="235"/>
    <cellStyle name="20% - Accent4 4 3" xfId="236"/>
    <cellStyle name="20% - Accent4 4 4" xfId="237"/>
    <cellStyle name="20% - Accent4 4 5" xfId="238"/>
    <cellStyle name="20% - Accent4 4 6" xfId="239"/>
    <cellStyle name="20% - Accent4 5" xfId="240"/>
    <cellStyle name="20% - Accent4 5 2" xfId="241"/>
    <cellStyle name="20% - Accent4 5 3" xfId="242"/>
    <cellStyle name="20% - Accent4 5 4" xfId="243"/>
    <cellStyle name="20% - Accent4 5 5" xfId="244"/>
    <cellStyle name="20% - Accent4 6" xfId="245"/>
    <cellStyle name="20% - Accent4 6 2" xfId="246"/>
    <cellStyle name="20% - Accent4 6 3" xfId="247"/>
    <cellStyle name="20% - Accent4 7" xfId="248"/>
    <cellStyle name="20% - Accent4 7 2" xfId="249"/>
    <cellStyle name="20% - Accent4 7 3" xfId="250"/>
    <cellStyle name="20% - Accent4 8" xfId="251"/>
    <cellStyle name="20% - Accent4 8 2" xfId="252"/>
    <cellStyle name="20% - Accent4 9" xfId="253"/>
    <cellStyle name="20% - Accent4 9 2" xfId="254"/>
    <cellStyle name="20% - Accent5 2" xfId="255"/>
    <cellStyle name="20% - Accent5 10" xfId="256"/>
    <cellStyle name="20% - Accent5 2 2" xfId="257"/>
    <cellStyle name="20% - Accent5 2 2 2" xfId="258"/>
    <cellStyle name="20% - Accent5 2 2 2 2" xfId="259"/>
    <cellStyle name="20% - Accent5 2 2 2 2 2" xfId="260"/>
    <cellStyle name="20% - Accent5 2 2 2 2 2 2" xfId="261"/>
    <cellStyle name="20% - Accent5 2 2 2 2 2 2 2" xfId="262"/>
    <cellStyle name="20% - Accent5 2 2 2 2 2 2 2 2" xfId="263"/>
    <cellStyle name="20% - Accent5 2 2 2 2 2 2 2 2 2" xfId="264"/>
    <cellStyle name="20% - Accent5 2 2 2 2 2 2 2 2 2 2" xfId="265"/>
    <cellStyle name="20% - Accent5 2 2 2 2 2 2 2 2 2 2 2" xfId="266"/>
    <cellStyle name="20% - Accent5 2 2 2 2 2 2 2 3" xfId="267"/>
    <cellStyle name="20% - Accent5 2 2 2 2 2 2 3" xfId="268"/>
    <cellStyle name="20% - Accent5 2 2 2 2 2 3" xfId="269"/>
    <cellStyle name="20% - Accent5 2 2 2 2 2 4" xfId="270"/>
    <cellStyle name="20% - Accent5 2 2 2 2 3" xfId="271"/>
    <cellStyle name="20% - Accent5 2 2 2 2 4" xfId="272"/>
    <cellStyle name="20% - Accent5 2 2 2 3" xfId="273"/>
    <cellStyle name="20% - Accent5 2 2 2 4" xfId="274"/>
    <cellStyle name="20% - Accent5 2 2 2 5" xfId="275"/>
    <cellStyle name="20% - Accent5 2 2 3" xfId="276"/>
    <cellStyle name="20% - Accent5 2 2 4" xfId="277"/>
    <cellStyle name="20% - Accent5 2 2 5" xfId="278"/>
    <cellStyle name="20% - Accent5 2 3" xfId="279"/>
    <cellStyle name="20% - Accent5 2 4" xfId="280"/>
    <cellStyle name="20% - Accent5 2 5" xfId="281"/>
    <cellStyle name="20% - Accent5 2 6" xfId="282"/>
    <cellStyle name="20% - Accent5 2 7" xfId="283"/>
    <cellStyle name="20% - Accent5 2 8" xfId="284"/>
    <cellStyle name="20% - Accent5 2 9" xfId="285"/>
    <cellStyle name="20% - Accent5 3" xfId="286"/>
    <cellStyle name="20% - Accent5 3 2" xfId="287"/>
    <cellStyle name="20% - Accent5 3 3" xfId="288"/>
    <cellStyle name="20% - Accent5 4" xfId="289"/>
    <cellStyle name="20% - Accent5 4 2" xfId="290"/>
    <cellStyle name="20% - Accent5 4 2 2" xfId="291"/>
    <cellStyle name="20% - Accent5 4 2 2 2" xfId="292"/>
    <cellStyle name="20% - Accent5 4 2 2 2 2" xfId="293"/>
    <cellStyle name="20% - Accent5 4 2 2 2 2 2" xfId="294"/>
    <cellStyle name="20% - Accent5 4 2 2 3" xfId="295"/>
    <cellStyle name="20% - Accent5 4 2 3" xfId="296"/>
    <cellStyle name="20% - Accent5 4 3" xfId="297"/>
    <cellStyle name="20% - Accent5 4 4" xfId="298"/>
    <cellStyle name="20% - Accent5 4 5" xfId="299"/>
    <cellStyle name="20% - Accent5 4 6" xfId="300"/>
    <cellStyle name="20% - Accent5 5" xfId="301"/>
    <cellStyle name="20% - Accent5 5 2" xfId="302"/>
    <cellStyle name="20% - Accent5 5 3" xfId="303"/>
    <cellStyle name="20% - Accent5 5 4" xfId="304"/>
    <cellStyle name="20% - Accent5 5 5" xfId="305"/>
    <cellStyle name="20% - Accent5 6" xfId="306"/>
    <cellStyle name="20% - Accent5 6 2" xfId="307"/>
    <cellStyle name="20% - Accent5 6 3" xfId="308"/>
    <cellStyle name="20% - Accent5 7" xfId="309"/>
    <cellStyle name="20% - Accent5 7 2" xfId="310"/>
    <cellStyle name="20% - Accent5 7 3" xfId="311"/>
    <cellStyle name="20% - Accent5 8" xfId="312"/>
    <cellStyle name="20% - Accent5 8 2" xfId="313"/>
    <cellStyle name="20% - Accent5 9" xfId="314"/>
    <cellStyle name="20% - Accent5 9 2" xfId="315"/>
    <cellStyle name="20% - Accent6 2" xfId="316"/>
    <cellStyle name="20% - Accent6 10" xfId="317"/>
    <cellStyle name="20% - Accent6 2 2" xfId="318"/>
    <cellStyle name="20% - Accent6 2 2 2" xfId="319"/>
    <cellStyle name="20% - Accent6 2 2 2 2" xfId="320"/>
    <cellStyle name="20% - Accent6 2 2 2 2 2" xfId="321"/>
    <cellStyle name="20% - Accent6 2 2 2 2 2 2" xfId="322"/>
    <cellStyle name="20% - Accent6 2 2 2 2 2 2 2" xfId="323"/>
    <cellStyle name="20% - Accent6 2 2 2 2 2 2 2 2" xfId="324"/>
    <cellStyle name="20% - Accent6 2 2 2 2 2 2 2 2 2" xfId="325"/>
    <cellStyle name="20% - Accent6 2 2 2 2 2 2 2 2 2 2" xfId="326"/>
    <cellStyle name="20% - Accent6 2 2 2 2 2 2 2 2 2 2 2" xfId="327"/>
    <cellStyle name="20% - Accent6 2 2 2 2 2 2 2 3" xfId="328"/>
    <cellStyle name="20% - Accent6 2 2 2 2 2 2 3" xfId="329"/>
    <cellStyle name="20% - Accent6 2 2 2 2 2 3" xfId="330"/>
    <cellStyle name="20% - Accent6 2 2 2 2 2 4" xfId="331"/>
    <cellStyle name="20% - Accent6 2 2 2 2 3" xfId="332"/>
    <cellStyle name="20% - Accent6 2 2 2 2 4" xfId="333"/>
    <cellStyle name="20% - Accent6 2 2 2 3" xfId="334"/>
    <cellStyle name="20% - Accent6 2 2 2 4" xfId="335"/>
    <cellStyle name="20% - Accent6 2 2 2 5" xfId="336"/>
    <cellStyle name="20% - Accent6 2 2 3" xfId="337"/>
    <cellStyle name="20% - Accent6 2 2 4" xfId="338"/>
    <cellStyle name="20% - Accent6 2 2 5" xfId="339"/>
    <cellStyle name="20% - Accent6 2 3" xfId="340"/>
    <cellStyle name="20% - Accent6 2 4" xfId="341"/>
    <cellStyle name="20% - Accent6 2 5" xfId="342"/>
    <cellStyle name="20% - Accent6 2 6" xfId="343"/>
    <cellStyle name="20% - Accent6 2 7" xfId="344"/>
    <cellStyle name="20% - Accent6 2 8" xfId="345"/>
    <cellStyle name="20% - Accent6 2 9" xfId="346"/>
    <cellStyle name="20% - Accent6 3" xfId="347"/>
    <cellStyle name="20% - Accent6 3 2" xfId="348"/>
    <cellStyle name="20% - Accent6 3 3" xfId="349"/>
    <cellStyle name="20% - Accent6 4" xfId="350"/>
    <cellStyle name="20% - Accent6 4 2" xfId="351"/>
    <cellStyle name="20% - Accent6 4 2 2" xfId="352"/>
    <cellStyle name="20% - Accent6 4 2 2 2" xfId="353"/>
    <cellStyle name="20% - Accent6 4 2 2 2 2" xfId="354"/>
    <cellStyle name="20% - Accent6 4 2 2 2 2 2" xfId="355"/>
    <cellStyle name="20% - Accent6 4 2 2 3" xfId="356"/>
    <cellStyle name="20% - Accent6 4 2 3" xfId="357"/>
    <cellStyle name="20% - Accent6 4 3" xfId="358"/>
    <cellStyle name="20% - Accent6 4 4" xfId="359"/>
    <cellStyle name="20% - Accent6 4 5" xfId="360"/>
    <cellStyle name="20% - Accent6 4 6" xfId="361"/>
    <cellStyle name="20% - Accent6 5" xfId="362"/>
    <cellStyle name="20% - Accent6 5 2" xfId="363"/>
    <cellStyle name="20% - Accent6 5 3" xfId="364"/>
    <cellStyle name="20% - Accent6 5 4" xfId="365"/>
    <cellStyle name="20% - Accent6 5 5" xfId="366"/>
    <cellStyle name="20% - Accent6 6" xfId="367"/>
    <cellStyle name="20% - Accent6 6 2" xfId="368"/>
    <cellStyle name="20% - Accent6 6 3" xfId="369"/>
    <cellStyle name="20% - Accent6 7" xfId="370"/>
    <cellStyle name="20% - Accent6 7 2" xfId="371"/>
    <cellStyle name="20% - Accent6 7 3" xfId="372"/>
    <cellStyle name="20% - Accent6 8" xfId="373"/>
    <cellStyle name="20% - Accent6 8 2" xfId="374"/>
    <cellStyle name="20% - Accent6 9" xfId="375"/>
    <cellStyle name="20% - Accent6 9 2" xfId="376"/>
    <cellStyle name="40% - Accent1 2" xfId="377"/>
    <cellStyle name="40% - Accent1 10" xfId="378"/>
    <cellStyle name="40% - Accent1 2 2" xfId="379"/>
    <cellStyle name="40% - Accent1 2 2 2" xfId="380"/>
    <cellStyle name="40% - Accent1 2 2 2 2" xfId="381"/>
    <cellStyle name="40% - Accent1 2 2 2 2 2" xfId="382"/>
    <cellStyle name="40% - Accent1 2 2 2 2 2 2" xfId="383"/>
    <cellStyle name="40% - Accent1 2 2 2 2 2 2 2" xfId="384"/>
    <cellStyle name="40% - Accent1 2 2 2 2 2 2 2 2" xfId="385"/>
    <cellStyle name="40% - Accent1 2 2 2 2 2 2 2 2 2" xfId="386"/>
    <cellStyle name="40% - Accent1 2 2 2 2 2 2 2 2 2 2" xfId="387"/>
    <cellStyle name="40% - Accent1 2 2 2 2 2 2 2 2 2 2 2" xfId="388"/>
    <cellStyle name="40% - Accent1 2 2 2 2 2 2 2 3" xfId="389"/>
    <cellStyle name="40% - Accent1 2 2 2 2 2 2 3" xfId="390"/>
    <cellStyle name="40% - Accent1 2 2 2 2 2 3" xfId="391"/>
    <cellStyle name="40% - Accent1 2 2 2 2 2 4" xfId="392"/>
    <cellStyle name="40% - Accent1 2 2 2 2 3" xfId="393"/>
    <cellStyle name="40% - Accent1 2 2 2 2 4" xfId="394"/>
    <cellStyle name="40% - Accent1 2 2 2 3" xfId="395"/>
    <cellStyle name="40% - Accent1 2 2 2 4" xfId="396"/>
    <cellStyle name="40% - Accent1 2 2 2 5" xfId="397"/>
    <cellStyle name="40% - Accent1 2 2 3" xfId="398"/>
    <cellStyle name="40% - Accent1 2 2 4" xfId="399"/>
    <cellStyle name="40% - Accent1 2 2 5" xfId="400"/>
    <cellStyle name="40% - Accent1 2 3" xfId="401"/>
    <cellStyle name="40% - Accent1 2 4" xfId="402"/>
    <cellStyle name="40% - Accent1 2 5" xfId="403"/>
    <cellStyle name="40% - Accent1 2 6" xfId="404"/>
    <cellStyle name="40% - Accent1 2 7" xfId="405"/>
    <cellStyle name="40% - Accent1 2 8" xfId="406"/>
    <cellStyle name="40% - Accent1 2 9" xfId="407"/>
    <cellStyle name="40% - Accent1 3" xfId="408"/>
    <cellStyle name="40% - Accent1 3 2" xfId="409"/>
    <cellStyle name="40% - Accent1 3 3" xfId="410"/>
    <cellStyle name="40% - Accent1 4" xfId="411"/>
    <cellStyle name="40% - Accent1 4 2" xfId="412"/>
    <cellStyle name="40% - Accent1 4 2 2" xfId="413"/>
    <cellStyle name="40% - Accent1 4 2 2 2" xfId="414"/>
    <cellStyle name="40% - Accent1 4 2 2 2 2" xfId="415"/>
    <cellStyle name="40% - Accent1 4 2 2 2 2 2" xfId="416"/>
    <cellStyle name="40% - Accent1 4 2 2 3" xfId="417"/>
    <cellStyle name="40% - Accent1 4 2 3" xfId="418"/>
    <cellStyle name="40% - Accent1 4 3" xfId="419"/>
    <cellStyle name="40% - Accent1 4 4" xfId="420"/>
    <cellStyle name="40% - Accent1 4 5" xfId="421"/>
    <cellStyle name="40% - Accent1 4 6" xfId="422"/>
    <cellStyle name="40% - Accent1 5" xfId="423"/>
    <cellStyle name="40% - Accent1 5 2" xfId="424"/>
    <cellStyle name="40% - Accent1 5 3" xfId="425"/>
    <cellStyle name="40% - Accent1 5 4" xfId="426"/>
    <cellStyle name="40% - Accent1 5 5" xfId="427"/>
    <cellStyle name="40% - Accent1 6" xfId="428"/>
    <cellStyle name="40% - Accent1 6 2" xfId="429"/>
    <cellStyle name="40% - Accent1 6 3" xfId="430"/>
    <cellStyle name="40% - Accent1 7" xfId="431"/>
    <cellStyle name="40% - Accent1 7 2" xfId="432"/>
    <cellStyle name="40% - Accent1 7 3" xfId="433"/>
    <cellStyle name="40% - Accent1 8" xfId="434"/>
    <cellStyle name="40% - Accent1 8 2" xfId="435"/>
    <cellStyle name="40% - Accent1 9" xfId="436"/>
    <cellStyle name="40% - Accent1 9 2" xfId="437"/>
    <cellStyle name="40% - Accent2 2" xfId="438"/>
    <cellStyle name="40% - Accent2 10" xfId="439"/>
    <cellStyle name="40% - Accent2 2 2" xfId="440"/>
    <cellStyle name="40% - Accent2 2 2 2" xfId="441"/>
    <cellStyle name="40% - Accent2 2 2 2 2" xfId="442"/>
    <cellStyle name="40% - Accent2 2 2 2 2 2" xfId="443"/>
    <cellStyle name="40% - Accent2 2 2 2 2 2 2" xfId="444"/>
    <cellStyle name="40% - Accent2 2 2 2 2 2 2 2" xfId="445"/>
    <cellStyle name="40% - Accent2 2 2 2 2 2 2 2 2" xfId="446"/>
    <cellStyle name="40% - Accent2 2 2 2 2 2 2 2 2 2" xfId="447"/>
    <cellStyle name="40% - Accent2 2 2 2 2 2 2 2 2 2 2" xfId="448"/>
    <cellStyle name="40% - Accent2 2 2 2 2 2 2 2 2 2 2 2" xfId="449"/>
    <cellStyle name="40% - Accent2 2 2 2 2 2 2 2 3" xfId="450"/>
    <cellStyle name="40% - Accent2 2 2 2 2 2 2 3" xfId="451"/>
    <cellStyle name="40% - Accent2 2 2 2 2 2 3" xfId="452"/>
    <cellStyle name="40% - Accent2 2 2 2 2 2 4" xfId="453"/>
    <cellStyle name="40% - Accent2 2 2 2 2 3" xfId="454"/>
    <cellStyle name="40% - Accent2 2 2 2 2 4" xfId="455"/>
    <cellStyle name="40% - Accent2 2 2 2 3" xfId="456"/>
    <cellStyle name="40% - Accent2 2 2 2 4" xfId="457"/>
    <cellStyle name="40% - Accent2 2 2 2 5" xfId="458"/>
    <cellStyle name="40% - Accent2 2 2 3" xfId="459"/>
    <cellStyle name="40% - Accent2 2 2 4" xfId="460"/>
    <cellStyle name="40% - Accent2 2 2 5" xfId="461"/>
    <cellStyle name="40% - Accent2 2 3" xfId="462"/>
    <cellStyle name="40% - Accent2 2 4" xfId="463"/>
    <cellStyle name="40% - Accent2 2 5" xfId="464"/>
    <cellStyle name="40% - Accent2 2 6" xfId="465"/>
    <cellStyle name="40% - Accent2 2 7" xfId="466"/>
    <cellStyle name="40% - Accent2 2 8" xfId="467"/>
    <cellStyle name="40% - Accent2 2 9" xfId="468"/>
    <cellStyle name="40% - Accent2 3" xfId="469"/>
    <cellStyle name="40% - Accent2 3 2" xfId="470"/>
    <cellStyle name="40% - Accent2 3 3" xfId="471"/>
    <cellStyle name="40% - Accent2 4" xfId="472"/>
    <cellStyle name="40% - Accent2 4 2" xfId="473"/>
    <cellStyle name="40% - Accent2 4 2 2" xfId="474"/>
    <cellStyle name="40% - Accent2 4 2 2 2" xfId="475"/>
    <cellStyle name="40% - Accent2 4 2 2 2 2" xfId="476"/>
    <cellStyle name="40% - Accent2 4 2 2 2 2 2" xfId="477"/>
    <cellStyle name="40% - Accent2 4 2 2 3" xfId="478"/>
    <cellStyle name="40% - Accent2 4 2 3" xfId="479"/>
    <cellStyle name="40% - Accent2 4 3" xfId="480"/>
    <cellStyle name="40% - Accent2 4 4" xfId="481"/>
    <cellStyle name="40% - Accent2 4 5" xfId="482"/>
    <cellStyle name="40% - Accent2 4 6" xfId="483"/>
    <cellStyle name="40% - Accent2 5" xfId="484"/>
    <cellStyle name="40% - Accent2 5 2" xfId="485"/>
    <cellStyle name="40% - Accent2 5 3" xfId="486"/>
    <cellStyle name="40% - Accent2 5 4" xfId="487"/>
    <cellStyle name="40% - Accent2 5 5" xfId="488"/>
    <cellStyle name="40% - Accent2 6" xfId="489"/>
    <cellStyle name="40% - Accent2 6 2" xfId="490"/>
    <cellStyle name="40% - Accent2 6 3" xfId="491"/>
    <cellStyle name="40% - Accent2 7" xfId="492"/>
    <cellStyle name="40% - Accent2 7 2" xfId="493"/>
    <cellStyle name="40% - Accent2 7 3" xfId="494"/>
    <cellStyle name="40% - Accent2 8" xfId="495"/>
    <cellStyle name="40% - Accent2 8 2" xfId="496"/>
    <cellStyle name="40% - Accent2 9" xfId="497"/>
    <cellStyle name="40% - Accent2 9 2" xfId="498"/>
    <cellStyle name="40% - Accent3 2" xfId="499"/>
    <cellStyle name="40% - Accent3 10" xfId="500"/>
    <cellStyle name="40% - Accent3 2 2" xfId="501"/>
    <cellStyle name="40% - Accent3 2 2 2" xfId="502"/>
    <cellStyle name="40% - Accent3 2 2 2 2" xfId="503"/>
    <cellStyle name="40% - Accent3 2 2 2 2 2" xfId="504"/>
    <cellStyle name="40% - Accent3 2 2 2 2 2 2" xfId="505"/>
    <cellStyle name="40% - Accent3 2 2 2 2 2 2 2" xfId="506"/>
    <cellStyle name="40% - Accent3 2 2 2 2 2 2 2 2" xfId="507"/>
    <cellStyle name="40% - Accent3 2 2 2 2 2 2 2 2 2" xfId="508"/>
    <cellStyle name="40% - Accent3 2 2 2 2 2 2 2 2 2 2" xfId="509"/>
    <cellStyle name="40% - Accent3 2 2 2 2 2 2 2 2 2 2 2" xfId="510"/>
    <cellStyle name="40% - Accent3 2 2 2 2 2 2 2 3" xfId="511"/>
    <cellStyle name="40% - Accent3 2 2 2 2 2 2 3" xfId="512"/>
    <cellStyle name="40% - Accent3 2 2 2 2 2 3" xfId="513"/>
    <cellStyle name="40% - Accent3 2 2 2 2 2 4" xfId="514"/>
    <cellStyle name="40% - Accent3 2 2 2 2 3" xfId="515"/>
    <cellStyle name="40% - Accent3 2 2 2 2 4" xfId="516"/>
    <cellStyle name="40% - Accent3 2 2 2 3" xfId="517"/>
    <cellStyle name="40% - Accent3 2 2 2 4" xfId="518"/>
    <cellStyle name="40% - Accent3 2 2 2 5" xfId="519"/>
    <cellStyle name="40% - Accent3 2 2 3" xfId="520"/>
    <cellStyle name="40% - Accent3 2 2 4" xfId="521"/>
    <cellStyle name="40% - Accent3 2 2 5" xfId="522"/>
    <cellStyle name="40% - Accent3 2 3" xfId="523"/>
    <cellStyle name="40% - Accent3 2 4" xfId="524"/>
    <cellStyle name="40% - Accent3 2 5" xfId="525"/>
    <cellStyle name="40% - Accent3 2 6" xfId="526"/>
    <cellStyle name="40% - Accent3 2 7" xfId="527"/>
    <cellStyle name="40% - Accent3 2 8" xfId="528"/>
    <cellStyle name="40% - Accent3 2 9" xfId="529"/>
    <cellStyle name="40% - Accent3 3" xfId="530"/>
    <cellStyle name="40% - Accent3 3 2" xfId="531"/>
    <cellStyle name="40% - Accent3 3 3" xfId="532"/>
    <cellStyle name="40% - Accent3 4" xfId="533"/>
    <cellStyle name="40% - Accent3 4 2" xfId="534"/>
    <cellStyle name="40% - Accent3 4 2 2" xfId="535"/>
    <cellStyle name="40% - Accent3 4 2 2 2" xfId="536"/>
    <cellStyle name="40% - Accent3 4 2 2 2 2" xfId="537"/>
    <cellStyle name="40% - Accent3 4 2 2 2 2 2" xfId="538"/>
    <cellStyle name="40% - Accent3 4 2 2 3" xfId="539"/>
    <cellStyle name="40% - Accent3 4 2 3" xfId="540"/>
    <cellStyle name="40% - Accent3 4 3" xfId="541"/>
    <cellStyle name="40% - Accent3 4 4" xfId="542"/>
    <cellStyle name="40% - Accent3 4 5" xfId="543"/>
    <cellStyle name="40% - Accent3 4 6" xfId="544"/>
    <cellStyle name="40% - Accent3 5" xfId="545"/>
    <cellStyle name="40% - Accent3 5 2" xfId="546"/>
    <cellStyle name="40% - Accent3 5 3" xfId="547"/>
    <cellStyle name="40% - Accent3 5 4" xfId="548"/>
    <cellStyle name="40% - Accent3 5 5" xfId="549"/>
    <cellStyle name="40% - Accent3 6" xfId="550"/>
    <cellStyle name="40% - Accent3 6 2" xfId="551"/>
    <cellStyle name="40% - Accent3 6 3" xfId="552"/>
    <cellStyle name="40% - Accent3 7" xfId="553"/>
    <cellStyle name="40% - Accent3 7 2" xfId="554"/>
    <cellStyle name="40% - Accent3 7 3" xfId="555"/>
    <cellStyle name="40% - Accent3 8" xfId="556"/>
    <cellStyle name="40% - Accent3 8 2" xfId="557"/>
    <cellStyle name="40% - Accent3 9" xfId="558"/>
    <cellStyle name="40% - Accent3 9 2" xfId="559"/>
    <cellStyle name="40% - Accent4 2" xfId="560"/>
    <cellStyle name="40% - Accent4 10" xfId="561"/>
    <cellStyle name="40% - Accent4 2 2" xfId="562"/>
    <cellStyle name="40% - Accent4 2 2 2" xfId="563"/>
    <cellStyle name="40% - Accent4 2 2 2 2" xfId="564"/>
    <cellStyle name="40% - Accent4 2 2 2 2 2" xfId="565"/>
    <cellStyle name="40% - Accent4 2 2 2 2 2 2" xfId="566"/>
    <cellStyle name="40% - Accent4 2 2 2 2 2 2 2" xfId="567"/>
    <cellStyle name="40% - Accent4 2 2 2 2 2 2 2 2" xfId="568"/>
    <cellStyle name="40% - Accent4 2 2 2 2 2 2 2 2 2" xfId="569"/>
    <cellStyle name="40% - Accent4 2 2 2 2 2 2 2 2 2 2" xfId="570"/>
    <cellStyle name="40% - Accent4 2 2 2 2 2 2 2 2 2 2 2" xfId="571"/>
    <cellStyle name="40% - Accent4 2 2 2 2 2 2 2 3" xfId="572"/>
    <cellStyle name="40% - Accent4 2 2 2 2 2 2 3" xfId="573"/>
    <cellStyle name="40% - Accent4 2 2 2 2 2 3" xfId="574"/>
    <cellStyle name="40% - Accent4 2 2 2 2 2 4" xfId="575"/>
    <cellStyle name="40% - Accent4 2 2 2 2 3" xfId="576"/>
    <cellStyle name="40% - Accent4 2 2 2 2 4" xfId="577"/>
    <cellStyle name="40% - Accent4 2 2 2 3" xfId="578"/>
    <cellStyle name="40% - Accent4 2 2 2 4" xfId="579"/>
    <cellStyle name="40% - Accent4 2 2 2 5" xfId="580"/>
    <cellStyle name="40% - Accent4 2 2 3" xfId="581"/>
    <cellStyle name="40% - Accent4 2 2 4" xfId="582"/>
    <cellStyle name="40% - Accent4 2 2 5" xfId="583"/>
    <cellStyle name="40% - Accent4 2 3" xfId="584"/>
    <cellStyle name="40% - Accent4 2 4" xfId="585"/>
    <cellStyle name="40% - Accent4 2 5" xfId="586"/>
    <cellStyle name="40% - Accent4 2 6" xfId="587"/>
    <cellStyle name="40% - Accent4 2 7" xfId="588"/>
    <cellStyle name="40% - Accent4 2 8" xfId="589"/>
    <cellStyle name="40% - Accent4 2 9" xfId="590"/>
    <cellStyle name="40% - Accent4 3" xfId="591"/>
    <cellStyle name="40% - Accent4 3 2" xfId="592"/>
    <cellStyle name="40% - Accent4 3 3" xfId="593"/>
    <cellStyle name="40% - Accent4 4" xfId="594"/>
    <cellStyle name="40% - Accent4 4 2" xfId="595"/>
    <cellStyle name="40% - Accent4 4 2 2" xfId="596"/>
    <cellStyle name="40% - Accent4 4 2 2 2" xfId="597"/>
    <cellStyle name="40% - Accent4 4 2 2 2 2" xfId="598"/>
    <cellStyle name="40% - Accent4 4 2 2 2 2 2" xfId="599"/>
    <cellStyle name="40% - Accent4 4 2 2 3" xfId="600"/>
    <cellStyle name="40% - Accent4 4 2 3" xfId="601"/>
    <cellStyle name="40% - Accent4 4 3" xfId="602"/>
    <cellStyle name="40% - Accent4 4 4" xfId="603"/>
    <cellStyle name="40% - Accent4 4 5" xfId="604"/>
    <cellStyle name="40% - Accent4 4 6" xfId="605"/>
    <cellStyle name="40% - Accent4 5" xfId="606"/>
    <cellStyle name="40% - Accent4 5 2" xfId="607"/>
    <cellStyle name="40% - Accent4 5 3" xfId="608"/>
    <cellStyle name="40% - Accent4 5 4" xfId="609"/>
    <cellStyle name="40% - Accent4 5 5" xfId="610"/>
    <cellStyle name="40% - Accent4 6" xfId="611"/>
    <cellStyle name="40% - Accent4 6 2" xfId="612"/>
    <cellStyle name="40% - Accent4 6 3" xfId="613"/>
    <cellStyle name="40% - Accent4 7" xfId="614"/>
    <cellStyle name="40% - Accent4 7 2" xfId="615"/>
    <cellStyle name="40% - Accent4 7 3" xfId="616"/>
    <cellStyle name="40% - Accent4 8" xfId="617"/>
    <cellStyle name="40% - Accent4 8 2" xfId="618"/>
    <cellStyle name="40% - Accent4 9" xfId="619"/>
    <cellStyle name="40% - Accent4 9 2" xfId="620"/>
    <cellStyle name="40% - Accent5 2" xfId="621"/>
    <cellStyle name="40% - Accent5 10" xfId="622"/>
    <cellStyle name="40% - Accent5 2 2" xfId="623"/>
    <cellStyle name="40% - Accent5 2 2 2" xfId="624"/>
    <cellStyle name="40% - Accent5 2 2 2 2" xfId="625"/>
    <cellStyle name="40% - Accent5 2 2 2 2 2" xfId="626"/>
    <cellStyle name="40% - Accent5 2 2 2 2 2 2" xfId="627"/>
    <cellStyle name="40% - Accent5 2 2 2 2 2 2 2" xfId="628"/>
    <cellStyle name="40% - Accent5 2 2 2 2 2 2 2 2" xfId="629"/>
    <cellStyle name="40% - Accent5 2 2 2 2 2 2 2 2 2" xfId="630"/>
    <cellStyle name="40% - Accent5 2 2 2 2 2 2 2 2 2 2" xfId="631"/>
    <cellStyle name="40% - Accent5 2 2 2 2 2 2 2 2 2 2 2" xfId="632"/>
    <cellStyle name="40% - Accent5 2 2 2 2 2 2 2 3" xfId="633"/>
    <cellStyle name="40% - Accent5 2 2 2 2 2 2 3" xfId="634"/>
    <cellStyle name="40% - Accent5 2 2 2 2 2 3" xfId="635"/>
    <cellStyle name="40% - Accent5 2 2 2 2 2 4" xfId="636"/>
    <cellStyle name="40% - Accent5 2 2 2 2 3" xfId="637"/>
    <cellStyle name="40% - Accent5 2 2 2 2 4" xfId="638"/>
    <cellStyle name="40% - Accent5 2 2 2 3" xfId="639"/>
    <cellStyle name="40% - Accent5 2 2 2 4" xfId="640"/>
    <cellStyle name="40% - Accent5 2 2 2 5" xfId="641"/>
    <cellStyle name="40% - Accent5 2 2 3" xfId="642"/>
    <cellStyle name="40% - Accent5 2 2 4" xfId="643"/>
    <cellStyle name="40% - Accent5 2 2 5" xfId="644"/>
    <cellStyle name="40% - Accent5 2 3" xfId="645"/>
    <cellStyle name="40% - Accent5 2 4" xfId="646"/>
    <cellStyle name="40% - Accent5 2 5" xfId="647"/>
    <cellStyle name="40% - Accent5 2 6" xfId="648"/>
    <cellStyle name="40% - Accent5 2 7" xfId="649"/>
    <cellStyle name="40% - Accent5 2 8" xfId="650"/>
    <cellStyle name="40% - Accent5 2 9" xfId="651"/>
    <cellStyle name="40% - Accent5 3" xfId="652"/>
    <cellStyle name="40% - Accent5 3 2" xfId="653"/>
    <cellStyle name="40% - Accent5 3 3" xfId="654"/>
    <cellStyle name="40% - Accent5 4" xfId="655"/>
    <cellStyle name="40% - Accent5 4 2" xfId="656"/>
    <cellStyle name="40% - Accent5 4 2 2" xfId="657"/>
    <cellStyle name="40% - Accent5 4 2 2 2" xfId="658"/>
    <cellStyle name="40% - Accent5 4 2 2 2 2" xfId="659"/>
    <cellStyle name="40% - Accent5 4 2 2 2 2 2" xfId="660"/>
    <cellStyle name="40% - Accent5 4 2 2 3" xfId="661"/>
    <cellStyle name="40% - Accent5 4 2 3" xfId="662"/>
    <cellStyle name="40% - Accent5 4 3" xfId="663"/>
    <cellStyle name="40% - Accent5 4 4" xfId="664"/>
    <cellStyle name="40% - Accent5 4 5" xfId="665"/>
    <cellStyle name="40% - Accent5 4 6" xfId="666"/>
    <cellStyle name="40% - Accent5 5" xfId="667"/>
    <cellStyle name="40% - Accent5 5 2" xfId="668"/>
    <cellStyle name="40% - Accent5 5 3" xfId="669"/>
    <cellStyle name="40% - Accent5 5 4" xfId="670"/>
    <cellStyle name="40% - Accent5 5 5" xfId="671"/>
    <cellStyle name="40% - Accent5 6" xfId="672"/>
    <cellStyle name="40% - Accent5 6 2" xfId="673"/>
    <cellStyle name="40% - Accent5 6 3" xfId="674"/>
    <cellStyle name="40% - Accent5 7" xfId="675"/>
    <cellStyle name="40% - Accent5 7 2" xfId="676"/>
    <cellStyle name="40% - Accent5 7 3" xfId="677"/>
    <cellStyle name="40% - Accent5 8" xfId="678"/>
    <cellStyle name="40% - Accent5 8 2" xfId="679"/>
    <cellStyle name="40% - Accent5 9" xfId="680"/>
    <cellStyle name="40% - Accent5 9 2" xfId="681"/>
    <cellStyle name="40% - Accent6 2" xfId="682"/>
    <cellStyle name="40% - Accent6 10" xfId="683"/>
    <cellStyle name="40% - Accent6 2 2" xfId="684"/>
    <cellStyle name="40% - Accent6 2 2 2" xfId="685"/>
    <cellStyle name="40% - Accent6 2 2 2 2" xfId="686"/>
    <cellStyle name="40% - Accent6 2 2 2 2 2" xfId="687"/>
    <cellStyle name="40% - Accent6 2 2 2 2 2 2" xfId="688"/>
    <cellStyle name="40% - Accent6 2 2 2 2 2 2 2" xfId="689"/>
    <cellStyle name="40% - Accent6 2 2 2 2 2 2 2 2" xfId="690"/>
    <cellStyle name="40% - Accent6 2 2 2 2 2 2 2 2 2" xfId="691"/>
    <cellStyle name="40% - Accent6 2 2 2 2 2 2 2 2 2 2" xfId="692"/>
    <cellStyle name="40% - Accent6 2 2 2 2 2 2 2 2 2 2 2" xfId="693"/>
    <cellStyle name="40% - Accent6 2 2 2 2 2 2 2 3" xfId="694"/>
    <cellStyle name="40% - Accent6 2 2 2 2 2 2 3" xfId="695"/>
    <cellStyle name="40% - Accent6 2 2 2 2 2 3" xfId="696"/>
    <cellStyle name="40% - Accent6 2 2 2 2 2 4" xfId="697"/>
    <cellStyle name="40% - Accent6 2 2 2 2 3" xfId="698"/>
    <cellStyle name="40% - Accent6 2 2 2 2 4" xfId="699"/>
    <cellStyle name="40% - Accent6 2 2 2 3" xfId="700"/>
    <cellStyle name="40% - Accent6 2 2 2 4" xfId="701"/>
    <cellStyle name="40% - Accent6 2 2 2 5" xfId="702"/>
    <cellStyle name="40% - Accent6 2 2 3" xfId="703"/>
    <cellStyle name="40% - Accent6 2 2 4" xfId="704"/>
    <cellStyle name="40% - Accent6 2 2 5" xfId="705"/>
    <cellStyle name="40% - Accent6 2 3" xfId="706"/>
    <cellStyle name="40% - Accent6 2 4" xfId="707"/>
    <cellStyle name="40% - Accent6 2 5" xfId="708"/>
    <cellStyle name="40% - Accent6 2 6" xfId="709"/>
    <cellStyle name="40% - Accent6 2 7" xfId="710"/>
    <cellStyle name="40% - Accent6 2 8" xfId="711"/>
    <cellStyle name="40% - Accent6 2 9" xfId="712"/>
    <cellStyle name="40% - Accent6 3" xfId="713"/>
    <cellStyle name="40% - Accent6 3 2" xfId="714"/>
    <cellStyle name="40% - Accent6 3 3" xfId="715"/>
    <cellStyle name="40% - Accent6 4" xfId="716"/>
    <cellStyle name="40% - Accent6 4 2" xfId="717"/>
    <cellStyle name="40% - Accent6 4 2 2" xfId="718"/>
    <cellStyle name="40% - Accent6 4 2 2 2" xfId="719"/>
    <cellStyle name="40% - Accent6 4 2 2 2 2" xfId="720"/>
    <cellStyle name="40% - Accent6 4 2 2 2 2 2" xfId="721"/>
    <cellStyle name="40% - Accent6 4 2 2 3" xfId="722"/>
    <cellStyle name="40% - Accent6 4 2 3" xfId="723"/>
    <cellStyle name="40% - Accent6 4 3" xfId="724"/>
    <cellStyle name="40% - Accent6 4 4" xfId="725"/>
    <cellStyle name="40% - Accent6 4 5" xfId="726"/>
    <cellStyle name="40% - Accent6 4 6" xfId="727"/>
    <cellStyle name="40% - Accent6 5" xfId="728"/>
    <cellStyle name="40% - Accent6 5 2" xfId="729"/>
    <cellStyle name="40% - Accent6 5 3" xfId="730"/>
    <cellStyle name="40% - Accent6 5 4" xfId="731"/>
    <cellStyle name="40% - Accent6 5 5" xfId="732"/>
    <cellStyle name="40% - Accent6 6" xfId="733"/>
    <cellStyle name="40% - Accent6 6 2" xfId="734"/>
    <cellStyle name="40% - Accent6 6 3" xfId="735"/>
    <cellStyle name="40% - Accent6 7" xfId="736"/>
    <cellStyle name="40% - Accent6 7 2" xfId="737"/>
    <cellStyle name="40% - Accent6 7 3" xfId="738"/>
    <cellStyle name="40% - Accent6 8" xfId="739"/>
    <cellStyle name="40% - Accent6 8 2" xfId="740"/>
    <cellStyle name="40% - Accent6 9" xfId="741"/>
    <cellStyle name="40% - Accent6 9 2" xfId="742"/>
    <cellStyle name="60% - Accent1 2" xfId="743"/>
    <cellStyle name="60% - Accent1 10" xfId="744"/>
    <cellStyle name="60% - Accent1 2 2" xfId="745"/>
    <cellStyle name="60% - Accent1 2 2 2" xfId="746"/>
    <cellStyle name="60% - Accent1 2 2 2 2" xfId="747"/>
    <cellStyle name="60% - Accent1 2 2 2 2 2" xfId="748"/>
    <cellStyle name="60% - Accent1 2 2 2 2 2 2" xfId="749"/>
    <cellStyle name="60% - Accent1 2 2 2 2 2 2 2" xfId="750"/>
    <cellStyle name="60% - Accent1 2 2 2 2 2 2 2 2" xfId="751"/>
    <cellStyle name="60% - Accent1 2 2 2 2 2 2 2 2 2" xfId="752"/>
    <cellStyle name="60% - Accent1 2 2 2 2 2 2 2 2 2 2" xfId="753"/>
    <cellStyle name="60% - Accent1 2 2 2 2 2 2 2 2 2 2 2" xfId="754"/>
    <cellStyle name="60% - Accent1 2 2 2 2 2 2 2 3" xfId="755"/>
    <cellStyle name="60% - Accent1 2 2 2 2 2 2 3" xfId="756"/>
    <cellStyle name="60% - Accent1 2 2 2 2 2 3" xfId="757"/>
    <cellStyle name="60% - Accent1 2 2 2 2 2 4" xfId="758"/>
    <cellStyle name="60% - Accent1 2 2 2 2 3" xfId="759"/>
    <cellStyle name="60% - Accent1 2 2 2 2 4" xfId="760"/>
    <cellStyle name="60% - Accent1 2 2 2 3" xfId="761"/>
    <cellStyle name="60% - Accent1 2 2 2 4" xfId="762"/>
    <cellStyle name="60% - Accent1 2 2 2 5" xfId="763"/>
    <cellStyle name="60% - Accent1 2 2 3" xfId="764"/>
    <cellStyle name="60% - Accent1 2 2 4" xfId="765"/>
    <cellStyle name="60% - Accent1 2 2 5" xfId="766"/>
    <cellStyle name="60% - Accent1 2 3" xfId="767"/>
    <cellStyle name="60% - Accent1 2 4" xfId="768"/>
    <cellStyle name="60% - Accent1 2 5" xfId="769"/>
    <cellStyle name="60% - Accent1 2 6" xfId="770"/>
    <cellStyle name="60% - Accent1 2 7" xfId="771"/>
    <cellStyle name="60% - Accent1 2 8" xfId="772"/>
    <cellStyle name="60% - Accent1 2 9" xfId="773"/>
    <cellStyle name="60% - Accent1 3" xfId="774"/>
    <cellStyle name="60% - Accent1 3 2" xfId="775"/>
    <cellStyle name="60% - Accent1 3 3" xfId="776"/>
    <cellStyle name="60% - Accent1 4" xfId="777"/>
    <cellStyle name="60% - Accent1 4 2" xfId="778"/>
    <cellStyle name="60% - Accent1 4 2 2" xfId="779"/>
    <cellStyle name="60% - Accent1 4 2 2 2" xfId="780"/>
    <cellStyle name="60% - Accent1 4 2 2 2 2" xfId="781"/>
    <cellStyle name="60% - Accent1 4 2 2 2 2 2" xfId="782"/>
    <cellStyle name="60% - Accent1 4 2 2 3" xfId="783"/>
    <cellStyle name="60% - Accent1 4 2 3" xfId="784"/>
    <cellStyle name="60% - Accent1 4 3" xfId="785"/>
    <cellStyle name="60% - Accent1 4 4" xfId="786"/>
    <cellStyle name="60% - Accent1 4 5" xfId="787"/>
    <cellStyle name="60% - Accent1 4 6" xfId="788"/>
    <cellStyle name="60% - Accent1 5" xfId="789"/>
    <cellStyle name="60% - Accent1 5 2" xfId="790"/>
    <cellStyle name="60% - Accent1 5 3" xfId="791"/>
    <cellStyle name="60% - Accent1 5 4" xfId="792"/>
    <cellStyle name="60% - Accent1 5 5" xfId="793"/>
    <cellStyle name="60% - Accent1 6" xfId="794"/>
    <cellStyle name="60% - Accent1 6 2" xfId="795"/>
    <cellStyle name="60% - Accent1 6 3" xfId="796"/>
    <cellStyle name="60% - Accent1 7" xfId="797"/>
    <cellStyle name="60% - Accent1 7 2" xfId="798"/>
    <cellStyle name="60% - Accent1 7 3" xfId="799"/>
    <cellStyle name="60% - Accent1 8" xfId="800"/>
    <cellStyle name="60% - Accent1 8 2" xfId="801"/>
    <cellStyle name="60% - Accent1 9" xfId="802"/>
    <cellStyle name="60% - Accent1 9 2" xfId="803"/>
    <cellStyle name="60% - Accent2 2" xfId="804"/>
    <cellStyle name="60% - Accent2 10" xfId="805"/>
    <cellStyle name="60% - Accent2 2 2" xfId="806"/>
    <cellStyle name="60% - Accent2 2 2 2" xfId="807"/>
    <cellStyle name="60% - Accent2 2 2 2 2" xfId="808"/>
    <cellStyle name="60% - Accent2 2 2 2 2 2" xfId="809"/>
    <cellStyle name="60% - Accent2 2 2 2 2 2 2" xfId="810"/>
    <cellStyle name="60% - Accent2 2 2 2 2 2 2 2" xfId="811"/>
    <cellStyle name="60% - Accent2 2 2 2 2 2 2 2 2" xfId="812"/>
    <cellStyle name="60% - Accent2 2 2 2 2 2 2 2 2 2" xfId="813"/>
    <cellStyle name="60% - Accent2 2 2 2 2 2 2 2 2 2 2" xfId="814"/>
    <cellStyle name="60% - Accent2 2 2 2 2 2 2 2 2 2 2 2" xfId="815"/>
    <cellStyle name="60% - Accent2 2 2 2 2 2 2 2 3" xfId="816"/>
    <cellStyle name="60% - Accent2 2 2 2 2 2 2 3" xfId="817"/>
    <cellStyle name="60% - Accent2 2 2 2 2 2 3" xfId="818"/>
    <cellStyle name="60% - Accent2 2 2 2 2 2 4" xfId="819"/>
    <cellStyle name="60% - Accent2 2 2 2 2 3" xfId="820"/>
    <cellStyle name="60% - Accent2 2 2 2 2 4" xfId="821"/>
    <cellStyle name="60% - Accent2 2 2 2 3" xfId="822"/>
    <cellStyle name="60% - Accent2 2 2 2 4" xfId="823"/>
    <cellStyle name="60% - Accent2 2 2 2 5" xfId="824"/>
    <cellStyle name="60% - Accent2 2 2 3" xfId="825"/>
    <cellStyle name="60% - Accent2 2 2 4" xfId="826"/>
    <cellStyle name="60% - Accent2 2 2 5" xfId="827"/>
    <cellStyle name="60% - Accent2 2 3" xfId="828"/>
    <cellStyle name="60% - Accent2 2 4" xfId="829"/>
    <cellStyle name="60% - Accent2 2 5" xfId="830"/>
    <cellStyle name="60% - Accent2 2 6" xfId="831"/>
    <cellStyle name="60% - Accent2 2 7" xfId="832"/>
    <cellStyle name="60% - Accent2 2 8" xfId="833"/>
    <cellStyle name="60% - Accent2 2 9" xfId="834"/>
    <cellStyle name="60% - Accent2 3" xfId="835"/>
    <cellStyle name="60% - Accent2 3 2" xfId="836"/>
    <cellStyle name="60% - Accent2 3 3" xfId="837"/>
    <cellStyle name="60% - Accent2 4" xfId="838"/>
    <cellStyle name="60% - Accent2 4 2" xfId="839"/>
    <cellStyle name="60% - Accent2 4 2 2" xfId="840"/>
    <cellStyle name="60% - Accent2 4 2 2 2" xfId="841"/>
    <cellStyle name="60% - Accent2 4 2 2 2 2" xfId="842"/>
    <cellStyle name="60% - Accent2 4 2 2 2 2 2" xfId="843"/>
    <cellStyle name="60% - Accent2 4 2 2 3" xfId="844"/>
    <cellStyle name="60% - Accent2 4 2 3" xfId="845"/>
    <cellStyle name="60% - Accent2 4 3" xfId="846"/>
    <cellStyle name="60% - Accent2 4 4" xfId="847"/>
    <cellStyle name="60% - Accent2 4 5" xfId="848"/>
    <cellStyle name="60% - Accent2 4 6" xfId="849"/>
    <cellStyle name="60% - Accent2 5" xfId="850"/>
    <cellStyle name="60% - Accent2 5 2" xfId="851"/>
    <cellStyle name="60% - Accent2 5 3" xfId="852"/>
    <cellStyle name="60% - Accent2 5 4" xfId="853"/>
    <cellStyle name="60% - Accent2 5 5" xfId="854"/>
    <cellStyle name="60% - Accent2 6" xfId="855"/>
    <cellStyle name="60% - Accent2 6 2" xfId="856"/>
    <cellStyle name="60% - Accent2 6 3" xfId="857"/>
    <cellStyle name="60% - Accent2 7" xfId="858"/>
    <cellStyle name="60% - Accent2 7 2" xfId="859"/>
    <cellStyle name="60% - Accent2 7 3" xfId="860"/>
    <cellStyle name="60% - Accent2 8" xfId="861"/>
    <cellStyle name="60% - Accent2 8 2" xfId="862"/>
    <cellStyle name="60% - Accent2 9" xfId="863"/>
    <cellStyle name="60% - Accent2 9 2" xfId="864"/>
    <cellStyle name="60% - Accent3 2" xfId="865"/>
    <cellStyle name="60% - Accent3 10" xfId="866"/>
    <cellStyle name="60% - Accent3 2 2" xfId="867"/>
    <cellStyle name="60% - Accent3 2 2 2" xfId="868"/>
    <cellStyle name="60% - Accent3 2 2 2 2" xfId="869"/>
    <cellStyle name="60% - Accent3 2 2 2 2 2" xfId="870"/>
    <cellStyle name="60% - Accent3 2 2 2 2 2 2" xfId="871"/>
    <cellStyle name="60% - Accent3 2 2 2 2 2 2 2" xfId="872"/>
    <cellStyle name="60% - Accent3 2 2 2 2 2 2 2 2" xfId="873"/>
    <cellStyle name="60% - Accent3 2 2 2 2 2 2 2 2 2" xfId="874"/>
    <cellStyle name="60% - Accent3 2 2 2 2 2 2 2 2 2 2" xfId="875"/>
    <cellStyle name="60% - Accent3 2 2 2 2 2 2 2 2 2 2 2" xfId="876"/>
    <cellStyle name="60% - Accent3 2 2 2 2 2 2 2 3" xfId="877"/>
    <cellStyle name="60% - Accent3 2 2 2 2 2 2 3" xfId="878"/>
    <cellStyle name="60% - Accent3 2 2 2 2 2 3" xfId="879"/>
    <cellStyle name="60% - Accent3 2 2 2 2 2 4" xfId="880"/>
    <cellStyle name="60% - Accent3 2 2 2 2 3" xfId="881"/>
    <cellStyle name="60% - Accent3 2 2 2 2 4" xfId="882"/>
    <cellStyle name="60% - Accent3 2 2 2 3" xfId="883"/>
    <cellStyle name="60% - Accent3 2 2 2 4" xfId="884"/>
    <cellStyle name="60% - Accent3 2 2 2 5" xfId="885"/>
    <cellStyle name="60% - Accent3 2 2 3" xfId="886"/>
    <cellStyle name="60% - Accent3 2 2 4" xfId="887"/>
    <cellStyle name="60% - Accent3 2 2 5" xfId="888"/>
    <cellStyle name="60% - Accent3 2 3" xfId="889"/>
    <cellStyle name="60% - Accent3 2 4" xfId="890"/>
    <cellStyle name="60% - Accent3 2 5" xfId="891"/>
    <cellStyle name="60% - Accent3 2 6" xfId="892"/>
    <cellStyle name="60% - Accent3 2 7" xfId="893"/>
    <cellStyle name="60% - Accent3 2 8" xfId="894"/>
    <cellStyle name="60% - Accent3 2 9" xfId="895"/>
    <cellStyle name="60% - Accent3 3" xfId="896"/>
    <cellStyle name="60% - Accent3 3 2" xfId="897"/>
    <cellStyle name="60% - Accent3 3 3" xfId="898"/>
    <cellStyle name="60% - Accent3 4" xfId="899"/>
    <cellStyle name="60% - Accent3 4 2" xfId="900"/>
    <cellStyle name="60% - Accent3 4 2 2" xfId="901"/>
    <cellStyle name="60% - Accent3 4 2 2 2" xfId="902"/>
    <cellStyle name="60% - Accent3 4 2 2 2 2" xfId="903"/>
    <cellStyle name="60% - Accent3 4 2 2 2 2 2" xfId="904"/>
    <cellStyle name="60% - Accent3 4 2 2 3" xfId="905"/>
    <cellStyle name="60% - Accent3 4 2 3" xfId="906"/>
    <cellStyle name="60% - Accent3 4 3" xfId="907"/>
    <cellStyle name="60% - Accent3 4 4" xfId="908"/>
    <cellStyle name="60% - Accent3 4 5" xfId="909"/>
    <cellStyle name="60% - Accent3 4 6" xfId="910"/>
    <cellStyle name="60% - Accent3 5" xfId="911"/>
    <cellStyle name="60% - Accent3 5 2" xfId="912"/>
    <cellStyle name="60% - Accent3 5 3" xfId="913"/>
    <cellStyle name="60% - Accent3 5 4" xfId="914"/>
    <cellStyle name="60% - Accent3 5 5" xfId="915"/>
    <cellStyle name="60% - Accent3 6" xfId="916"/>
    <cellStyle name="60% - Accent3 6 2" xfId="917"/>
    <cellStyle name="60% - Accent3 6 3" xfId="918"/>
    <cellStyle name="60% - Accent3 7" xfId="919"/>
    <cellStyle name="60% - Accent3 7 2" xfId="920"/>
    <cellStyle name="60% - Accent3 7 3" xfId="921"/>
    <cellStyle name="60% - Accent3 8" xfId="922"/>
    <cellStyle name="60% - Accent3 8 2" xfId="923"/>
    <cellStyle name="60% - Accent3 9" xfId="924"/>
    <cellStyle name="60% - Accent3 9 2" xfId="925"/>
    <cellStyle name="60% - Accent4 2" xfId="926"/>
    <cellStyle name="60% - Accent4 10" xfId="927"/>
    <cellStyle name="60% - Accent4 2 2" xfId="928"/>
    <cellStyle name="60% - Accent4 2 2 2" xfId="929"/>
    <cellStyle name="60% - Accent4 2 2 2 2" xfId="930"/>
    <cellStyle name="60% - Accent4 2 2 2 2 2" xfId="931"/>
    <cellStyle name="60% - Accent4 2 2 2 2 2 2" xfId="932"/>
    <cellStyle name="60% - Accent4 2 2 2 2 2 2 2" xfId="933"/>
    <cellStyle name="60% - Accent4 2 2 2 2 2 2 2 2" xfId="934"/>
    <cellStyle name="60% - Accent4 2 2 2 2 2 2 2 2 2" xfId="935"/>
    <cellStyle name="60% - Accent4 2 2 2 2 2 2 2 2 2 2" xfId="936"/>
    <cellStyle name="60% - Accent4 2 2 2 2 2 2 2 2 2 2 2" xfId="937"/>
    <cellStyle name="60% - Accent4 2 2 2 2 2 2 2 3" xfId="938"/>
    <cellStyle name="60% - Accent4 2 2 2 2 2 2 3" xfId="939"/>
    <cellStyle name="60% - Accent4 2 2 2 2 2 3" xfId="940"/>
    <cellStyle name="60% - Accent4 2 2 2 2 2 4" xfId="941"/>
    <cellStyle name="60% - Accent4 2 2 2 2 3" xfId="942"/>
    <cellStyle name="60% - Accent4 2 2 2 2 4" xfId="943"/>
    <cellStyle name="60% - Accent4 2 2 2 3" xfId="944"/>
    <cellStyle name="60% - Accent4 2 2 2 4" xfId="945"/>
    <cellStyle name="60% - Accent4 2 2 2 5" xfId="946"/>
    <cellStyle name="60% - Accent4 2 2 3" xfId="947"/>
    <cellStyle name="60% - Accent4 2 2 4" xfId="948"/>
    <cellStyle name="60% - Accent4 2 2 5" xfId="949"/>
    <cellStyle name="60% - Accent4 2 3" xfId="950"/>
    <cellStyle name="60% - Accent4 2 4" xfId="951"/>
    <cellStyle name="60% - Accent4 2 5" xfId="952"/>
    <cellStyle name="60% - Accent4 2 6" xfId="953"/>
    <cellStyle name="60% - Accent4 2 7" xfId="954"/>
    <cellStyle name="60% - Accent4 2 8" xfId="955"/>
    <cellStyle name="60% - Accent4 2 9" xfId="956"/>
    <cellStyle name="60% - Accent4 3" xfId="957"/>
    <cellStyle name="60% - Accent4 3 2" xfId="958"/>
    <cellStyle name="60% - Accent4 3 3" xfId="959"/>
    <cellStyle name="60% - Accent4 4" xfId="960"/>
    <cellStyle name="60% - Accent4 4 2" xfId="961"/>
    <cellStyle name="60% - Accent4 4 2 2" xfId="962"/>
    <cellStyle name="60% - Accent4 4 2 2 2" xfId="963"/>
    <cellStyle name="60% - Accent4 4 2 2 2 2" xfId="964"/>
    <cellStyle name="60% - Accent4 4 2 2 2 2 2" xfId="965"/>
    <cellStyle name="60% - Accent4 4 2 2 3" xfId="966"/>
    <cellStyle name="60% - Accent4 4 2 3" xfId="967"/>
    <cellStyle name="60% - Accent4 4 3" xfId="968"/>
    <cellStyle name="60% - Accent4 4 4" xfId="969"/>
    <cellStyle name="60% - Accent4 4 5" xfId="970"/>
    <cellStyle name="60% - Accent4 4 6" xfId="971"/>
    <cellStyle name="60% - Accent4 5" xfId="972"/>
    <cellStyle name="60% - Accent4 5 2" xfId="973"/>
    <cellStyle name="60% - Accent4 5 3" xfId="974"/>
    <cellStyle name="60% - Accent4 5 4" xfId="975"/>
    <cellStyle name="60% - Accent4 5 5" xfId="976"/>
    <cellStyle name="60% - Accent4 6" xfId="977"/>
    <cellStyle name="60% - Accent4 6 2" xfId="978"/>
    <cellStyle name="60% - Accent4 6 3" xfId="979"/>
    <cellStyle name="60% - Accent4 7" xfId="980"/>
    <cellStyle name="60% - Accent4 7 2" xfId="981"/>
    <cellStyle name="60% - Accent4 7 3" xfId="982"/>
    <cellStyle name="60% - Accent4 8" xfId="983"/>
    <cellStyle name="60% - Accent4 8 2" xfId="984"/>
    <cellStyle name="60% - Accent4 9" xfId="985"/>
    <cellStyle name="60% - Accent4 9 2" xfId="986"/>
    <cellStyle name="60% - Accent5 2" xfId="987"/>
    <cellStyle name="60% - Accent5 10" xfId="988"/>
    <cellStyle name="60% - Accent5 2 2" xfId="989"/>
    <cellStyle name="60% - Accent5 2 2 2" xfId="990"/>
    <cellStyle name="60% - Accent5 2 2 2 2" xfId="991"/>
    <cellStyle name="60% - Accent5 2 2 2 2 2" xfId="992"/>
    <cellStyle name="60% - Accent5 2 2 2 2 2 2" xfId="993"/>
    <cellStyle name="60% - Accent5 2 2 2 2 2 2 2" xfId="994"/>
    <cellStyle name="60% - Accent5 2 2 2 2 2 2 2 2" xfId="995"/>
    <cellStyle name="60% - Accent5 2 2 2 2 2 2 2 2 2" xfId="996"/>
    <cellStyle name="60% - Accent5 2 2 2 2 2 2 2 2 2 2" xfId="997"/>
    <cellStyle name="60% - Accent5 2 2 2 2 2 2 2 2 2 2 2" xfId="998"/>
    <cellStyle name="60% - Accent5 2 2 2 2 2 2 2 3" xfId="999"/>
    <cellStyle name="60% - Accent5 2 2 2 2 2 2 3" xfId="1000"/>
    <cellStyle name="60% - Accent5 2 2 2 2 2 3" xfId="1001"/>
    <cellStyle name="60% - Accent5 2 2 2 2 2 4" xfId="1002"/>
    <cellStyle name="60% - Accent5 2 2 2 2 3" xfId="1003"/>
    <cellStyle name="60% - Accent5 2 2 2 2 4" xfId="1004"/>
    <cellStyle name="60% - Accent5 2 2 2 3" xfId="1005"/>
    <cellStyle name="60% - Accent5 2 2 2 4" xfId="1006"/>
    <cellStyle name="60% - Accent5 2 2 2 5" xfId="1007"/>
    <cellStyle name="60% - Accent5 2 2 3" xfId="1008"/>
    <cellStyle name="60% - Accent5 2 2 4" xfId="1009"/>
    <cellStyle name="60% - Accent5 2 2 5" xfId="1010"/>
    <cellStyle name="60% - Accent5 2 3" xfId="1011"/>
    <cellStyle name="60% - Accent5 2 4" xfId="1012"/>
    <cellStyle name="60% - Accent5 2 5" xfId="1013"/>
    <cellStyle name="60% - Accent5 2 6" xfId="1014"/>
    <cellStyle name="60% - Accent5 2 7" xfId="1015"/>
    <cellStyle name="60% - Accent5 2 8" xfId="1016"/>
    <cellStyle name="60% - Accent5 2 9" xfId="1017"/>
    <cellStyle name="60% - Accent5 3" xfId="1018"/>
    <cellStyle name="60% - Accent5 3 2" xfId="1019"/>
    <cellStyle name="60% - Accent5 3 3" xfId="1020"/>
    <cellStyle name="60% - Accent5 4" xfId="1021"/>
    <cellStyle name="60% - Accent5 4 2" xfId="1022"/>
    <cellStyle name="60% - Accent5 4 2 2" xfId="1023"/>
    <cellStyle name="60% - Accent5 4 2 2 2" xfId="1024"/>
    <cellStyle name="60% - Accent5 4 2 2 2 2" xfId="1025"/>
    <cellStyle name="60% - Accent5 4 2 2 2 2 2" xfId="1026"/>
    <cellStyle name="60% - Accent5 4 2 2 3" xfId="1027"/>
    <cellStyle name="60% - Accent5 4 2 3" xfId="1028"/>
    <cellStyle name="60% - Accent5 4 3" xfId="1029"/>
    <cellStyle name="60% - Accent5 4 4" xfId="1030"/>
    <cellStyle name="60% - Accent5 4 5" xfId="1031"/>
    <cellStyle name="60% - Accent5 4 6" xfId="1032"/>
    <cellStyle name="60% - Accent5 5" xfId="1033"/>
    <cellStyle name="60% - Accent5 5 2" xfId="1034"/>
    <cellStyle name="60% - Accent5 5 3" xfId="1035"/>
    <cellStyle name="60% - Accent5 5 4" xfId="1036"/>
    <cellStyle name="60% - Accent5 5 5" xfId="1037"/>
    <cellStyle name="60% - Accent5 6" xfId="1038"/>
    <cellStyle name="60% - Accent5 6 2" xfId="1039"/>
    <cellStyle name="60% - Accent5 6 3" xfId="1040"/>
    <cellStyle name="60% - Accent5 7" xfId="1041"/>
    <cellStyle name="60% - Accent5 7 2" xfId="1042"/>
    <cellStyle name="60% - Accent5 7 3" xfId="1043"/>
    <cellStyle name="60% - Accent5 8" xfId="1044"/>
    <cellStyle name="60% - Accent5 8 2" xfId="1045"/>
    <cellStyle name="60% - Accent5 9" xfId="1046"/>
    <cellStyle name="60% - Accent5 9 2" xfId="1047"/>
    <cellStyle name="60% - Accent6 2" xfId="1048"/>
    <cellStyle name="60% - Accent6 10" xfId="1049"/>
    <cellStyle name="60% - Accent6 2 2" xfId="1050"/>
    <cellStyle name="60% - Accent6 2 2 2" xfId="1051"/>
    <cellStyle name="60% - Accent6 2 2 2 2" xfId="1052"/>
    <cellStyle name="60% - Accent6 2 2 2 2 2" xfId="1053"/>
    <cellStyle name="60% - Accent6 2 2 2 2 2 2" xfId="1054"/>
    <cellStyle name="60% - Accent6 2 2 2 2 2 2 2" xfId="1055"/>
    <cellStyle name="60% - Accent6 2 2 2 2 2 2 2 2" xfId="1056"/>
    <cellStyle name="60% - Accent6 2 2 2 2 2 2 2 2 2" xfId="1057"/>
    <cellStyle name="60% - Accent6 2 2 2 2 2 2 2 2 2 2" xfId="1058"/>
    <cellStyle name="60% - Accent6 2 2 2 2 2 2 2 2 2 2 2" xfId="1059"/>
    <cellStyle name="60% - Accent6 2 2 2 2 2 2 2 3" xfId="1060"/>
    <cellStyle name="60% - Accent6 2 2 2 2 2 2 3" xfId="1061"/>
    <cellStyle name="60% - Accent6 2 2 2 2 2 3" xfId="1062"/>
    <cellStyle name="60% - Accent6 2 2 2 2 2 4" xfId="1063"/>
    <cellStyle name="60% - Accent6 2 2 2 2 3" xfId="1064"/>
    <cellStyle name="60% - Accent6 2 2 2 2 4" xfId="1065"/>
    <cellStyle name="60% - Accent6 2 2 2 3" xfId="1066"/>
    <cellStyle name="60% - Accent6 2 2 2 4" xfId="1067"/>
    <cellStyle name="60% - Accent6 2 2 2 5" xfId="1068"/>
    <cellStyle name="60% - Accent6 2 2 3" xfId="1069"/>
    <cellStyle name="60% - Accent6 2 2 4" xfId="1070"/>
    <cellStyle name="60% - Accent6 2 2 5" xfId="1071"/>
    <cellStyle name="60% - Accent6 2 3" xfId="1072"/>
    <cellStyle name="60% - Accent6 2 4" xfId="1073"/>
    <cellStyle name="60% - Accent6 2 5" xfId="1074"/>
    <cellStyle name="60% - Accent6 2 6" xfId="1075"/>
    <cellStyle name="60% - Accent6 2 7" xfId="1076"/>
    <cellStyle name="60% - Accent6 2 8" xfId="1077"/>
    <cellStyle name="60% - Accent6 2 9" xfId="1078"/>
    <cellStyle name="60% - Accent6 3" xfId="1079"/>
    <cellStyle name="60% - Accent6 3 2" xfId="1080"/>
    <cellStyle name="60% - Accent6 3 3" xfId="1081"/>
    <cellStyle name="60% - Accent6 4" xfId="1082"/>
    <cellStyle name="60% - Accent6 4 2" xfId="1083"/>
    <cellStyle name="60% - Accent6 4 2 2" xfId="1084"/>
    <cellStyle name="60% - Accent6 4 2 2 2" xfId="1085"/>
    <cellStyle name="60% - Accent6 4 2 2 2 2" xfId="1086"/>
    <cellStyle name="60% - Accent6 4 2 2 2 2 2" xfId="1087"/>
    <cellStyle name="60% - Accent6 4 2 2 3" xfId="1088"/>
    <cellStyle name="60% - Accent6 4 2 3" xfId="1089"/>
    <cellStyle name="60% - Accent6 4 3" xfId="1090"/>
    <cellStyle name="60% - Accent6 4 4" xfId="1091"/>
    <cellStyle name="60% - Accent6 4 5" xfId="1092"/>
    <cellStyle name="60% - Accent6 4 6" xfId="1093"/>
    <cellStyle name="60% - Accent6 5" xfId="1094"/>
    <cellStyle name="60% - Accent6 5 2" xfId="1095"/>
    <cellStyle name="60% - Accent6 5 3" xfId="1096"/>
    <cellStyle name="60% - Accent6 5 4" xfId="1097"/>
    <cellStyle name="60% - Accent6 5 5" xfId="1098"/>
    <cellStyle name="60% - Accent6 6" xfId="1099"/>
    <cellStyle name="60% - Accent6 6 2" xfId="1100"/>
    <cellStyle name="60% - Accent6 6 3" xfId="1101"/>
    <cellStyle name="60% - Accent6 7" xfId="1102"/>
    <cellStyle name="60% - Accent6 7 2" xfId="1103"/>
    <cellStyle name="60% - Accent6 7 3" xfId="1104"/>
    <cellStyle name="60% - Accent6 8" xfId="1105"/>
    <cellStyle name="60% - Accent6 8 2" xfId="1106"/>
    <cellStyle name="60% - Accent6 9" xfId="1107"/>
    <cellStyle name="60% - Accent6 9 2" xfId="1108"/>
    <cellStyle name="Accent1 2" xfId="1109"/>
    <cellStyle name="Accent1 10" xfId="1110"/>
    <cellStyle name="Accent1 2 2" xfId="1111"/>
    <cellStyle name="Accent1 2 2 2" xfId="1112"/>
    <cellStyle name="Accent1 2 2 2 2" xfId="1113"/>
    <cellStyle name="Accent1 2 2 2 2 2" xfId="1114"/>
    <cellStyle name="Accent1 2 2 2 2 2 2" xfId="1115"/>
    <cellStyle name="Accent1 2 2 2 2 2 2 2" xfId="1116"/>
    <cellStyle name="Accent1 2 2 2 2 2 2 2 2" xfId="1117"/>
    <cellStyle name="Accent1 2 2 2 2 2 2 2 2 2" xfId="1118"/>
    <cellStyle name="Accent1 2 2 2 2 2 2 2 2 2 2" xfId="1119"/>
    <cellStyle name="Accent1 2 2 2 2 2 2 2 2 2 2 2" xfId="1120"/>
    <cellStyle name="Accent1 2 2 2 2 2 2 2 3" xfId="1121"/>
    <cellStyle name="Accent1 2 2 2 2 2 2 3" xfId="1122"/>
    <cellStyle name="Accent1 2 2 2 2 2 3" xfId="1123"/>
    <cellStyle name="Accent1 2 2 2 2 2 4" xfId="1124"/>
    <cellStyle name="Accent1 2 2 2 2 3" xfId="1125"/>
    <cellStyle name="Accent1 2 2 2 2 4" xfId="1126"/>
    <cellStyle name="Accent1 2 2 2 3" xfId="1127"/>
    <cellStyle name="Accent1 2 2 2 4" xfId="1128"/>
    <cellStyle name="Accent1 2 2 2 5" xfId="1129"/>
    <cellStyle name="Accent1 2 2 3" xfId="1130"/>
    <cellStyle name="Accent1 2 2 4" xfId="1131"/>
    <cellStyle name="Accent1 2 2 5" xfId="1132"/>
    <cellStyle name="Accent1 2 3" xfId="1133"/>
    <cellStyle name="Accent1 2 4" xfId="1134"/>
    <cellStyle name="Accent1 2 5" xfId="1135"/>
    <cellStyle name="Accent1 2 6" xfId="1136"/>
    <cellStyle name="Accent1 2 7" xfId="1137"/>
    <cellStyle name="Accent1 2 8" xfId="1138"/>
    <cellStyle name="Accent1 2 9" xfId="1139"/>
    <cellStyle name="Accent1 3" xfId="1140"/>
    <cellStyle name="Accent1 3 2" xfId="1141"/>
    <cellStyle name="Accent1 3 3" xfId="1142"/>
    <cellStyle name="Accent1 4" xfId="1143"/>
    <cellStyle name="Accent1 4 2" xfId="1144"/>
    <cellStyle name="Accent1 4 2 2" xfId="1145"/>
    <cellStyle name="Accent1 4 2 2 2" xfId="1146"/>
    <cellStyle name="Accent1 4 2 2 2 2" xfId="1147"/>
    <cellStyle name="Accent1 4 2 2 2 2 2" xfId="1148"/>
    <cellStyle name="Accent1 4 2 2 3" xfId="1149"/>
    <cellStyle name="Accent1 4 2 3" xfId="1150"/>
    <cellStyle name="Accent1 4 3" xfId="1151"/>
    <cellStyle name="Accent1 4 4" xfId="1152"/>
    <cellStyle name="Accent1 4 5" xfId="1153"/>
    <cellStyle name="Accent1 4 6" xfId="1154"/>
    <cellStyle name="Accent1 5" xfId="1155"/>
    <cellStyle name="Accent1 5 2" xfId="1156"/>
    <cellStyle name="Accent1 5 3" xfId="1157"/>
    <cellStyle name="Accent1 5 4" xfId="1158"/>
    <cellStyle name="Accent1 5 5" xfId="1159"/>
    <cellStyle name="Accent1 6" xfId="1160"/>
    <cellStyle name="Accent1 6 2" xfId="1161"/>
    <cellStyle name="Accent1 6 3" xfId="1162"/>
    <cellStyle name="Accent1 7" xfId="1163"/>
    <cellStyle name="Accent1 7 2" xfId="1164"/>
    <cellStyle name="Accent1 7 3" xfId="1165"/>
    <cellStyle name="Accent1 8" xfId="1166"/>
    <cellStyle name="Accent1 8 2" xfId="1167"/>
    <cellStyle name="Accent1 9" xfId="1168"/>
    <cellStyle name="Accent1 9 2" xfId="1169"/>
    <cellStyle name="Accent2 2" xfId="1170"/>
    <cellStyle name="Accent2 10" xfId="1171"/>
    <cellStyle name="Accent2 2 2" xfId="1172"/>
    <cellStyle name="Accent2 2 2 2" xfId="1173"/>
    <cellStyle name="Accent2 2 2 2 2" xfId="1174"/>
    <cellStyle name="Accent2 2 2 2 2 2" xfId="1175"/>
    <cellStyle name="Accent2 2 2 2 2 2 2" xfId="1176"/>
    <cellStyle name="Accent2 2 2 2 2 2 2 2" xfId="1177"/>
    <cellStyle name="Accent2 2 2 2 2 2 2 2 2" xfId="1178"/>
    <cellStyle name="Accent2 2 2 2 2 2 2 2 2 2" xfId="1179"/>
    <cellStyle name="Accent2 2 2 2 2 2 2 2 2 2 2" xfId="1180"/>
    <cellStyle name="Accent2 2 2 2 2 2 2 2 2 2 2 2" xfId="1181"/>
    <cellStyle name="Accent2 2 2 2 2 2 2 2 3" xfId="1182"/>
    <cellStyle name="Accent2 2 2 2 2 2 2 3" xfId="1183"/>
    <cellStyle name="Accent2 2 2 2 2 2 3" xfId="1184"/>
    <cellStyle name="Accent2 2 2 2 2 2 4" xfId="1185"/>
    <cellStyle name="Accent2 2 2 2 2 3" xfId="1186"/>
    <cellStyle name="Accent2 2 2 2 2 4" xfId="1187"/>
    <cellStyle name="Accent2 2 2 2 3" xfId="1188"/>
    <cellStyle name="Accent2 2 2 2 4" xfId="1189"/>
    <cellStyle name="Accent2 2 2 2 5" xfId="1190"/>
    <cellStyle name="Accent2 2 2 3" xfId="1191"/>
    <cellStyle name="Accent2 2 2 4" xfId="1192"/>
    <cellStyle name="Accent2 2 2 5" xfId="1193"/>
    <cellStyle name="Accent2 2 3" xfId="1194"/>
    <cellStyle name="Accent2 2 4" xfId="1195"/>
    <cellStyle name="Accent2 2 5" xfId="1196"/>
    <cellStyle name="Accent2 2 6" xfId="1197"/>
    <cellStyle name="Accent2 2 7" xfId="1198"/>
    <cellStyle name="Accent2 2 8" xfId="1199"/>
    <cellStyle name="Accent2 2 9" xfId="1200"/>
    <cellStyle name="Accent2 3" xfId="1201"/>
    <cellStyle name="Accent2 3 2" xfId="1202"/>
    <cellStyle name="Accent2 3 3" xfId="1203"/>
    <cellStyle name="Accent2 4" xfId="1204"/>
    <cellStyle name="Accent2 4 2" xfId="1205"/>
    <cellStyle name="Accent2 4 2 2" xfId="1206"/>
    <cellStyle name="Accent2 4 2 2 2" xfId="1207"/>
    <cellStyle name="Accent2 4 2 2 2 2" xfId="1208"/>
    <cellStyle name="Accent2 4 2 2 2 2 2" xfId="1209"/>
    <cellStyle name="Accent2 4 2 2 3" xfId="1210"/>
    <cellStyle name="Accent2 4 2 3" xfId="1211"/>
    <cellStyle name="Accent2 4 3" xfId="1212"/>
    <cellStyle name="Accent2 4 4" xfId="1213"/>
    <cellStyle name="Accent2 4 5" xfId="1214"/>
    <cellStyle name="Accent2 4 6" xfId="1215"/>
    <cellStyle name="Accent2 5" xfId="1216"/>
    <cellStyle name="Accent2 5 2" xfId="1217"/>
    <cellStyle name="Accent2 5 3" xfId="1218"/>
    <cellStyle name="Accent2 5 4" xfId="1219"/>
    <cellStyle name="Accent2 5 5" xfId="1220"/>
    <cellStyle name="Accent2 6" xfId="1221"/>
    <cellStyle name="Accent2 6 2" xfId="1222"/>
    <cellStyle name="Accent2 6 3" xfId="1223"/>
    <cellStyle name="Accent2 7" xfId="1224"/>
    <cellStyle name="Accent2 7 2" xfId="1225"/>
    <cellStyle name="Accent2 7 3" xfId="1226"/>
    <cellStyle name="Accent2 8" xfId="1227"/>
    <cellStyle name="Accent2 8 2" xfId="1228"/>
    <cellStyle name="Accent2 9" xfId="1229"/>
    <cellStyle name="Accent2 9 2" xfId="1230"/>
    <cellStyle name="Accent3 2" xfId="1231"/>
    <cellStyle name="Accent3 10" xfId="1232"/>
    <cellStyle name="Accent3 2 2" xfId="1233"/>
    <cellStyle name="Accent3 2 2 2" xfId="1234"/>
    <cellStyle name="Accent3 2 2 2 2" xfId="1235"/>
    <cellStyle name="Accent3 2 2 2 2 2" xfId="1236"/>
    <cellStyle name="Accent3 2 2 2 2 2 2" xfId="1237"/>
    <cellStyle name="Accent3 2 2 2 2 2 2 2" xfId="1238"/>
    <cellStyle name="Accent3 2 2 2 2 2 2 2 2" xfId="1239"/>
    <cellStyle name="Accent3 2 2 2 2 2 2 2 2 2" xfId="1240"/>
    <cellStyle name="Accent3 2 2 2 2 2 2 2 2 2 2" xfId="1241"/>
    <cellStyle name="Accent3 2 2 2 2 2 2 2 2 2 2 2" xfId="1242"/>
    <cellStyle name="Accent3 2 2 2 2 2 2 2 3" xfId="1243"/>
    <cellStyle name="Accent3 2 2 2 2 2 2 3" xfId="1244"/>
    <cellStyle name="Accent3 2 2 2 2 2 3" xfId="1245"/>
    <cellStyle name="Accent3 2 2 2 2 2 4" xfId="1246"/>
    <cellStyle name="Accent3 2 2 2 2 3" xfId="1247"/>
    <cellStyle name="Accent3 2 2 2 2 4" xfId="1248"/>
    <cellStyle name="Accent3 2 2 2 3" xfId="1249"/>
    <cellStyle name="Accent3 2 2 2 4" xfId="1250"/>
    <cellStyle name="Accent3 2 2 2 5" xfId="1251"/>
    <cellStyle name="Accent3 2 2 3" xfId="1252"/>
    <cellStyle name="Accent3 2 2 4" xfId="1253"/>
    <cellStyle name="Accent3 2 2 5" xfId="1254"/>
    <cellStyle name="Accent3 2 3" xfId="1255"/>
    <cellStyle name="Accent3 2 4" xfId="1256"/>
    <cellStyle name="Accent3 2 5" xfId="1257"/>
    <cellStyle name="Accent3 2 6" xfId="1258"/>
    <cellStyle name="Accent3 2 7" xfId="1259"/>
    <cellStyle name="Accent3 2 8" xfId="1260"/>
    <cellStyle name="Accent3 2 9" xfId="1261"/>
    <cellStyle name="Accent3 3" xfId="1262"/>
    <cellStyle name="Accent3 3 2" xfId="1263"/>
    <cellStyle name="Accent3 3 3" xfId="1264"/>
    <cellStyle name="Accent3 4" xfId="1265"/>
    <cellStyle name="Accent3 4 2" xfId="1266"/>
    <cellStyle name="Accent3 4 2 2" xfId="1267"/>
    <cellStyle name="Accent3 4 2 2 2" xfId="1268"/>
    <cellStyle name="Accent3 4 2 2 2 2" xfId="1269"/>
    <cellStyle name="Accent3 4 2 2 2 2 2" xfId="1270"/>
    <cellStyle name="Accent3 4 2 2 3" xfId="1271"/>
    <cellStyle name="Accent3 4 2 3" xfId="1272"/>
    <cellStyle name="Accent3 4 3" xfId="1273"/>
    <cellStyle name="Accent3 4 4" xfId="1274"/>
    <cellStyle name="Accent3 4 5" xfId="1275"/>
    <cellStyle name="Accent3 4 6" xfId="1276"/>
    <cellStyle name="Accent3 5" xfId="1277"/>
    <cellStyle name="Accent3 5 2" xfId="1278"/>
    <cellStyle name="Accent3 5 3" xfId="1279"/>
    <cellStyle name="Accent3 5 4" xfId="1280"/>
    <cellStyle name="Accent3 5 5" xfId="1281"/>
    <cellStyle name="Accent3 6" xfId="1282"/>
    <cellStyle name="Accent3 6 2" xfId="1283"/>
    <cellStyle name="Accent3 6 3" xfId="1284"/>
    <cellStyle name="Accent3 7" xfId="1285"/>
    <cellStyle name="Accent3 7 2" xfId="1286"/>
    <cellStyle name="Accent3 7 3" xfId="1287"/>
    <cellStyle name="Accent3 8" xfId="1288"/>
    <cellStyle name="Accent3 8 2" xfId="1289"/>
    <cellStyle name="Accent3 9" xfId="1290"/>
    <cellStyle name="Accent3 9 2" xfId="1291"/>
    <cellStyle name="Accent4 2" xfId="1292"/>
    <cellStyle name="Accent4 10" xfId="1293"/>
    <cellStyle name="Accent4 2 2" xfId="1294"/>
    <cellStyle name="Accent4 2 2 2" xfId="1295"/>
    <cellStyle name="Accent4 2 2 2 2" xfId="1296"/>
    <cellStyle name="Accent4 2 2 2 2 2" xfId="1297"/>
    <cellStyle name="Accent4 2 2 2 2 2 2" xfId="1298"/>
    <cellStyle name="Accent4 2 2 2 2 2 2 2" xfId="1299"/>
    <cellStyle name="Accent4 2 2 2 2 2 2 2 2" xfId="1300"/>
    <cellStyle name="Accent4 2 2 2 2 2 2 2 2 2" xfId="1301"/>
    <cellStyle name="Accent4 2 2 2 2 2 2 2 2 2 2" xfId="1302"/>
    <cellStyle name="Accent4 2 2 2 2 2 2 2 2 2 2 2" xfId="1303"/>
    <cellStyle name="Accent4 2 2 2 2 2 2 2 3" xfId="1304"/>
    <cellStyle name="Accent4 2 2 2 2 2 2 3" xfId="1305"/>
    <cellStyle name="Accent4 2 2 2 2 2 3" xfId="1306"/>
    <cellStyle name="Accent4 2 2 2 2 2 4" xfId="1307"/>
    <cellStyle name="Accent4 2 2 2 2 3" xfId="1308"/>
    <cellStyle name="Accent4 2 2 2 2 4" xfId="1309"/>
    <cellStyle name="Accent4 2 2 2 3" xfId="1310"/>
    <cellStyle name="Accent4 2 2 2 4" xfId="1311"/>
    <cellStyle name="Accent4 2 2 2 5" xfId="1312"/>
    <cellStyle name="Accent4 2 2 3" xfId="1313"/>
    <cellStyle name="Accent4 2 2 4" xfId="1314"/>
    <cellStyle name="Accent4 2 2 5" xfId="1315"/>
    <cellStyle name="Accent4 2 3" xfId="1316"/>
    <cellStyle name="Accent4 2 4" xfId="1317"/>
    <cellStyle name="Accent4 2 5" xfId="1318"/>
    <cellStyle name="Accent4 2 6" xfId="1319"/>
    <cellStyle name="Accent4 2 7" xfId="1320"/>
    <cellStyle name="Accent4 2 8" xfId="1321"/>
    <cellStyle name="Accent4 2 9" xfId="1322"/>
    <cellStyle name="Accent4 3" xfId="1323"/>
    <cellStyle name="Accent4 3 2" xfId="1324"/>
    <cellStyle name="Accent4 3 3" xfId="1325"/>
    <cellStyle name="Accent4 4" xfId="1326"/>
    <cellStyle name="Accent4 4 2" xfId="1327"/>
    <cellStyle name="Accent4 4 2 2" xfId="1328"/>
    <cellStyle name="Accent4 4 2 2 2" xfId="1329"/>
    <cellStyle name="Accent4 4 2 2 2 2" xfId="1330"/>
    <cellStyle name="Accent4 4 2 2 2 2 2" xfId="1331"/>
    <cellStyle name="Accent4 4 2 2 3" xfId="1332"/>
    <cellStyle name="Accent4 4 2 3" xfId="1333"/>
    <cellStyle name="Accent4 4 3" xfId="1334"/>
    <cellStyle name="Accent4 4 4" xfId="1335"/>
    <cellStyle name="Accent4 4 5" xfId="1336"/>
    <cellStyle name="Accent4 4 6" xfId="1337"/>
    <cellStyle name="Accent4 5" xfId="1338"/>
    <cellStyle name="Accent4 5 2" xfId="1339"/>
    <cellStyle name="Accent4 5 3" xfId="1340"/>
    <cellStyle name="Accent4 5 4" xfId="1341"/>
    <cellStyle name="Accent4 5 5" xfId="1342"/>
    <cellStyle name="Accent4 6" xfId="1343"/>
    <cellStyle name="Accent4 6 2" xfId="1344"/>
    <cellStyle name="Accent4 6 3" xfId="1345"/>
    <cellStyle name="Accent4 7" xfId="1346"/>
    <cellStyle name="Accent4 7 2" xfId="1347"/>
    <cellStyle name="Accent4 7 3" xfId="1348"/>
    <cellStyle name="Accent4 8" xfId="1349"/>
    <cellStyle name="Accent4 8 2" xfId="1350"/>
    <cellStyle name="Accent4 9" xfId="1351"/>
    <cellStyle name="Accent4 9 2" xfId="1352"/>
    <cellStyle name="Accent5 2" xfId="1353"/>
    <cellStyle name="Accent5 10" xfId="1354"/>
    <cellStyle name="Accent5 2 2" xfId="1355"/>
    <cellStyle name="Accent5 2 2 2" xfId="1356"/>
    <cellStyle name="Accent5 2 2 2 2" xfId="1357"/>
    <cellStyle name="Accent5 2 2 2 2 2" xfId="1358"/>
    <cellStyle name="Accent5 2 2 2 2 2 2" xfId="1359"/>
    <cellStyle name="Accent5 2 2 2 2 2 2 2" xfId="1360"/>
    <cellStyle name="Accent5 2 2 2 2 2 2 2 2" xfId="1361"/>
    <cellStyle name="Accent5 2 2 2 2 2 2 2 2 2" xfId="1362"/>
    <cellStyle name="Accent5 2 2 2 2 2 2 2 2 2 2" xfId="1363"/>
    <cellStyle name="Accent5 2 2 2 2 2 2 2 2 2 2 2" xfId="1364"/>
    <cellStyle name="Accent5 2 2 2 2 2 2 2 3" xfId="1365"/>
    <cellStyle name="Accent5 2 2 2 2 2 2 3" xfId="1366"/>
    <cellStyle name="Accent5 2 2 2 2 2 3" xfId="1367"/>
    <cellStyle name="Accent5 2 2 2 2 2 4" xfId="1368"/>
    <cellStyle name="Accent5 2 2 2 2 3" xfId="1369"/>
    <cellStyle name="Accent5 2 2 2 2 4" xfId="1370"/>
    <cellStyle name="Accent5 2 2 2 3" xfId="1371"/>
    <cellStyle name="Accent5 2 2 2 4" xfId="1372"/>
    <cellStyle name="Accent5 2 2 2 5" xfId="1373"/>
    <cellStyle name="Accent5 2 2 3" xfId="1374"/>
    <cellStyle name="Accent5 2 2 4" xfId="1375"/>
    <cellStyle name="Accent5 2 2 5" xfId="1376"/>
    <cellStyle name="Accent5 2 3" xfId="1377"/>
    <cellStyle name="Accent5 2 4" xfId="1378"/>
    <cellStyle name="Accent5 2 5" xfId="1379"/>
    <cellStyle name="Accent5 2 6" xfId="1380"/>
    <cellStyle name="Accent5 2 7" xfId="1381"/>
    <cellStyle name="Accent5 2 8" xfId="1382"/>
    <cellStyle name="Accent5 2 9" xfId="1383"/>
    <cellStyle name="Accent5 3" xfId="1384"/>
    <cellStyle name="Accent5 3 2" xfId="1385"/>
    <cellStyle name="Accent5 3 3" xfId="1386"/>
    <cellStyle name="Accent5 4" xfId="1387"/>
    <cellStyle name="Accent5 4 2" xfId="1388"/>
    <cellStyle name="Accent5 4 2 2" xfId="1389"/>
    <cellStyle name="Accent5 4 2 2 2" xfId="1390"/>
    <cellStyle name="Accent5 4 2 2 2 2" xfId="1391"/>
    <cellStyle name="Accent5 4 2 2 2 2 2" xfId="1392"/>
    <cellStyle name="Accent5 4 2 2 3" xfId="1393"/>
    <cellStyle name="Accent5 4 2 3" xfId="1394"/>
    <cellStyle name="Accent5 4 3" xfId="1395"/>
    <cellStyle name="Accent5 4 4" xfId="1396"/>
    <cellStyle name="Accent5 4 5" xfId="1397"/>
    <cellStyle name="Accent5 4 6" xfId="1398"/>
    <cellStyle name="Accent5 5" xfId="1399"/>
    <cellStyle name="Accent5 5 2" xfId="1400"/>
    <cellStyle name="Accent5 5 3" xfId="1401"/>
    <cellStyle name="Accent5 5 4" xfId="1402"/>
    <cellStyle name="Accent5 5 5" xfId="1403"/>
    <cellStyle name="Accent5 6" xfId="1404"/>
    <cellStyle name="Accent5 6 2" xfId="1405"/>
    <cellStyle name="Accent5 6 3" xfId="1406"/>
    <cellStyle name="Accent5 7" xfId="1407"/>
    <cellStyle name="Accent5 7 2" xfId="1408"/>
    <cellStyle name="Accent5 7 3" xfId="1409"/>
    <cellStyle name="Accent5 8" xfId="1410"/>
    <cellStyle name="Accent5 8 2" xfId="1411"/>
    <cellStyle name="Accent5 9" xfId="1412"/>
    <cellStyle name="Accent5 9 2" xfId="1413"/>
    <cellStyle name="Accent6 2" xfId="1414"/>
    <cellStyle name="Accent6 10" xfId="1415"/>
    <cellStyle name="Accent6 2 2" xfId="1416"/>
    <cellStyle name="Accent6 2 2 2" xfId="1417"/>
    <cellStyle name="Accent6 2 2 2 2" xfId="1418"/>
    <cellStyle name="Accent6 2 2 2 2 2" xfId="1419"/>
    <cellStyle name="Accent6 2 2 2 2 2 2" xfId="1420"/>
    <cellStyle name="Accent6 2 2 2 2 2 2 2" xfId="1421"/>
    <cellStyle name="Accent6 2 2 2 2 2 2 2 2" xfId="1422"/>
    <cellStyle name="Accent6 2 2 2 2 2 2 2 2 2" xfId="1423"/>
    <cellStyle name="Accent6 2 2 2 2 2 2 2 2 2 2" xfId="1424"/>
    <cellStyle name="Accent6 2 2 2 2 2 2 2 2 2 2 2" xfId="1425"/>
    <cellStyle name="Accent6 2 2 2 2 2 2 2 3" xfId="1426"/>
    <cellStyle name="Accent6 2 2 2 2 2 2 3" xfId="1427"/>
    <cellStyle name="Accent6 2 2 2 2 2 3" xfId="1428"/>
    <cellStyle name="Accent6 2 2 2 2 2 4" xfId="1429"/>
    <cellStyle name="Accent6 2 2 2 2 3" xfId="1430"/>
    <cellStyle name="Accent6 2 2 2 2 4" xfId="1431"/>
    <cellStyle name="Accent6 2 2 2 3" xfId="1432"/>
    <cellStyle name="Accent6 2 2 2 4" xfId="1433"/>
    <cellStyle name="Accent6 2 2 2 5" xfId="1434"/>
    <cellStyle name="Accent6 2 2 3" xfId="1435"/>
    <cellStyle name="Accent6 2 2 4" xfId="1436"/>
    <cellStyle name="Accent6 2 2 5" xfId="1437"/>
    <cellStyle name="Accent6 2 3" xfId="1438"/>
    <cellStyle name="Accent6 2 4" xfId="1439"/>
    <cellStyle name="Accent6 2 5" xfId="1440"/>
    <cellStyle name="Accent6 2 6" xfId="1441"/>
    <cellStyle name="Accent6 2 7" xfId="1442"/>
    <cellStyle name="Accent6 2 8" xfId="1443"/>
    <cellStyle name="Accent6 2 9" xfId="1444"/>
    <cellStyle name="Accent6 3" xfId="1445"/>
    <cellStyle name="Accent6 3 2" xfId="1446"/>
    <cellStyle name="Accent6 3 3" xfId="1447"/>
    <cellStyle name="Accent6 4" xfId="1448"/>
    <cellStyle name="Accent6 4 2" xfId="1449"/>
    <cellStyle name="Accent6 4 2 2" xfId="1450"/>
    <cellStyle name="Accent6 4 2 2 2" xfId="1451"/>
    <cellStyle name="Accent6 4 2 2 2 2" xfId="1452"/>
    <cellStyle name="Accent6 4 2 2 2 2 2" xfId="1453"/>
    <cellStyle name="Accent6 4 2 2 3" xfId="1454"/>
    <cellStyle name="Accent6 4 2 3" xfId="1455"/>
    <cellStyle name="Accent6 4 3" xfId="1456"/>
    <cellStyle name="Accent6 4 4" xfId="1457"/>
    <cellStyle name="Accent6 4 5" xfId="1458"/>
    <cellStyle name="Accent6 4 6" xfId="1459"/>
    <cellStyle name="Accent6 5" xfId="1460"/>
    <cellStyle name="Accent6 5 2" xfId="1461"/>
    <cellStyle name="Accent6 5 3" xfId="1462"/>
    <cellStyle name="Accent6 5 4" xfId="1463"/>
    <cellStyle name="Accent6 5 5" xfId="1464"/>
    <cellStyle name="Accent6 6" xfId="1465"/>
    <cellStyle name="Accent6 6 2" xfId="1466"/>
    <cellStyle name="Accent6 6 3" xfId="1467"/>
    <cellStyle name="Accent6 7" xfId="1468"/>
    <cellStyle name="Accent6 7 2" xfId="1469"/>
    <cellStyle name="Accent6 7 3" xfId="1470"/>
    <cellStyle name="Accent6 8" xfId="1471"/>
    <cellStyle name="Accent6 8 2" xfId="1472"/>
    <cellStyle name="Accent6 9" xfId="1473"/>
    <cellStyle name="Accent6 9 2" xfId="1474"/>
    <cellStyle name="Bad 2" xfId="1475"/>
    <cellStyle name="Bad 10" xfId="1476"/>
    <cellStyle name="Bad 2 2" xfId="1477"/>
    <cellStyle name="Bad 2 2 2" xfId="1478"/>
    <cellStyle name="Bad 2 2 2 2" xfId="1479"/>
    <cellStyle name="Bad 2 2 2 2 2" xfId="1480"/>
    <cellStyle name="Bad 2 2 2 2 2 2" xfId="1481"/>
    <cellStyle name="Bad 2 2 2 2 2 2 2" xfId="1482"/>
    <cellStyle name="Bad 2 2 2 2 2 2 2 2" xfId="1483"/>
    <cellStyle name="Bad 2 2 2 2 2 2 2 2 2" xfId="1484"/>
    <cellStyle name="Bad 2 2 2 2 2 2 2 2 2 2" xfId="1485"/>
    <cellStyle name="Bad 2 2 2 2 2 2 2 2 2 2 2" xfId="1486"/>
    <cellStyle name="Bad 2 2 2 2 2 2 2 3" xfId="1487"/>
    <cellStyle name="Bad 2 2 2 2 2 2 3" xfId="1488"/>
    <cellStyle name="Bad 2 2 2 2 2 3" xfId="1489"/>
    <cellStyle name="Bad 2 2 2 2 2 4" xfId="1490"/>
    <cellStyle name="Bad 2 2 2 2 3" xfId="1491"/>
    <cellStyle name="Bad 2 2 2 2 4" xfId="1492"/>
    <cellStyle name="Bad 2 2 2 3" xfId="1493"/>
    <cellStyle name="Bad 2 2 2 4" xfId="1494"/>
    <cellStyle name="Bad 2 2 2 5" xfId="1495"/>
    <cellStyle name="Bad 2 2 3" xfId="1496"/>
    <cellStyle name="Bad 2 2 4" xfId="1497"/>
    <cellStyle name="Bad 2 2 5" xfId="1498"/>
    <cellStyle name="Bad 2 3" xfId="1499"/>
    <cellStyle name="Bad 2 4" xfId="1500"/>
    <cellStyle name="Bad 2 5" xfId="1501"/>
    <cellStyle name="Bad 2 6" xfId="1502"/>
    <cellStyle name="Bad 2 7" xfId="1503"/>
    <cellStyle name="Bad 2 8" xfId="1504"/>
    <cellStyle name="Bad 2 9" xfId="1505"/>
    <cellStyle name="Bad 3" xfId="1506"/>
    <cellStyle name="Bad 3 2" xfId="1507"/>
    <cellStyle name="Bad 3 3" xfId="1508"/>
    <cellStyle name="Bad 4" xfId="1509"/>
    <cellStyle name="Bad 4 2" xfId="1510"/>
    <cellStyle name="Bad 4 2 2" xfId="1511"/>
    <cellStyle name="Bad 4 2 2 2" xfId="1512"/>
    <cellStyle name="Bad 4 2 2 2 2" xfId="1513"/>
    <cellStyle name="Bad 4 2 2 2 2 2" xfId="1514"/>
    <cellStyle name="Bad 4 2 2 3" xfId="1515"/>
    <cellStyle name="Bad 4 2 3" xfId="1516"/>
    <cellStyle name="Bad 4 3" xfId="1517"/>
    <cellStyle name="Bad 4 4" xfId="1518"/>
    <cellStyle name="Bad 4 5" xfId="1519"/>
    <cellStyle name="Bad 4 6" xfId="1520"/>
    <cellStyle name="Bad 5" xfId="1521"/>
    <cellStyle name="Bad 5 2" xfId="1522"/>
    <cellStyle name="Bad 5 3" xfId="1523"/>
    <cellStyle name="Bad 5 4" xfId="1524"/>
    <cellStyle name="Bad 5 5" xfId="1525"/>
    <cellStyle name="Bad 6" xfId="1526"/>
    <cellStyle name="Bad 6 2" xfId="1527"/>
    <cellStyle name="Bad 6 3" xfId="1528"/>
    <cellStyle name="Bad 7" xfId="1529"/>
    <cellStyle name="Bad 7 2" xfId="1530"/>
    <cellStyle name="Bad 7 3" xfId="1531"/>
    <cellStyle name="Bad 8" xfId="1532"/>
    <cellStyle name="Bad 8 2" xfId="1533"/>
    <cellStyle name="Bad 9" xfId="1534"/>
    <cellStyle name="Bad 9 2" xfId="1535"/>
    <cellStyle name="Calculation 2" xfId="1536"/>
    <cellStyle name="Calculation 10" xfId="1537"/>
    <cellStyle name="Calculation 2 2" xfId="1538"/>
    <cellStyle name="Calculation 2 2 2" xfId="1539"/>
    <cellStyle name="Calculation 2 2 2 2" xfId="1540"/>
    <cellStyle name="Calculation 2 2 2 2 2" xfId="1541"/>
    <cellStyle name="Calculation 2 2 2 2 2 2" xfId="1542"/>
    <cellStyle name="Calculation 2 2 2 2 2 2 2" xfId="1543"/>
    <cellStyle name="Calculation 2 2 2 2 2 2 2 2" xfId="1544"/>
    <cellStyle name="Calculation 2 2 2 2 2 2 2 2 2" xfId="1545"/>
    <cellStyle name="Calculation 2 2 2 2 2 2 2 2 2 2" xfId="1546"/>
    <cellStyle name="Calculation 2 2 2 2 2 2 2 2 2 2 2" xfId="1547"/>
    <cellStyle name="Calculation 2 2 2 2 2 2 2 3" xfId="1548"/>
    <cellStyle name="Calculation 2 2 2 2 2 2 3" xfId="1549"/>
    <cellStyle name="Calculation 2 2 2 2 2 3" xfId="1550"/>
    <cellStyle name="Calculation 2 2 2 2 2 4" xfId="1551"/>
    <cellStyle name="Calculation 2 2 2 2 3" xfId="1552"/>
    <cellStyle name="Calculation 2 2 2 2 4" xfId="1553"/>
    <cellStyle name="Calculation 2 2 2 3" xfId="1554"/>
    <cellStyle name="Calculation 2 2 2 4" xfId="1555"/>
    <cellStyle name="Calculation 2 2 2 5" xfId="1556"/>
    <cellStyle name="Calculation 2 2 3" xfId="1557"/>
    <cellStyle name="Calculation 2 2 4" xfId="1558"/>
    <cellStyle name="Calculation 2 2 5" xfId="1559"/>
    <cellStyle name="Calculation 2 3" xfId="1560"/>
    <cellStyle name="Calculation 2 4" xfId="1561"/>
    <cellStyle name="Calculation 2 5" xfId="1562"/>
    <cellStyle name="Calculation 2 6" xfId="1563"/>
    <cellStyle name="Calculation 2 7" xfId="1564"/>
    <cellStyle name="Calculation 2 8" xfId="1565"/>
    <cellStyle name="Calculation 2 9" xfId="1566"/>
    <cellStyle name="Calculation 3" xfId="1567"/>
    <cellStyle name="Calculation 3 2" xfId="1568"/>
    <cellStyle name="Calculation 3 3" xfId="1569"/>
    <cellStyle name="Calculation 4" xfId="1570"/>
    <cellStyle name="Calculation 4 2" xfId="1571"/>
    <cellStyle name="Calculation 4 2 2" xfId="1572"/>
    <cellStyle name="Calculation 4 2 2 2" xfId="1573"/>
    <cellStyle name="Calculation 4 2 2 2 2" xfId="1574"/>
    <cellStyle name="Calculation 4 2 2 2 2 2" xfId="1575"/>
    <cellStyle name="Calculation 4 2 2 3" xfId="1576"/>
    <cellStyle name="Calculation 4 2 3" xfId="1577"/>
    <cellStyle name="Calculation 4 3" xfId="1578"/>
    <cellStyle name="Calculation 4 4" xfId="1579"/>
    <cellStyle name="Calculation 4 5" xfId="1580"/>
    <cellStyle name="Calculation 4 6" xfId="1581"/>
    <cellStyle name="Calculation 5" xfId="1582"/>
    <cellStyle name="Calculation 5 2" xfId="1583"/>
    <cellStyle name="Calculation 5 3" xfId="1584"/>
    <cellStyle name="Calculation 5 4" xfId="1585"/>
    <cellStyle name="Calculation 5 5" xfId="1586"/>
    <cellStyle name="Calculation 6" xfId="1587"/>
    <cellStyle name="Calculation 6 2" xfId="1588"/>
    <cellStyle name="Calculation 6 3" xfId="1589"/>
    <cellStyle name="Calculation 7" xfId="1590"/>
    <cellStyle name="Calculation 7 2" xfId="1591"/>
    <cellStyle name="Calculation 7 3" xfId="1592"/>
    <cellStyle name="Calculation 8" xfId="1593"/>
    <cellStyle name="Calculation 8 2" xfId="1594"/>
    <cellStyle name="Calculation 9" xfId="1595"/>
    <cellStyle name="Calculation 9 2" xfId="1596"/>
    <cellStyle name="Check Cell 2" xfId="1597"/>
    <cellStyle name="Check Cell 10" xfId="1598"/>
    <cellStyle name="Check Cell 2 2" xfId="1599"/>
    <cellStyle name="Check Cell 2 2 2" xfId="1600"/>
    <cellStyle name="Check Cell 2 2 2 2" xfId="1601"/>
    <cellStyle name="Check Cell 2 2 2 2 2" xfId="1602"/>
    <cellStyle name="Check Cell 2 2 2 2 2 2" xfId="1603"/>
    <cellStyle name="Check Cell 2 2 2 2 2 2 2" xfId="1604"/>
    <cellStyle name="Check Cell 2 2 2 2 2 2 2 2" xfId="1605"/>
    <cellStyle name="Check Cell 2 2 2 2 2 2 2 2 2" xfId="1606"/>
    <cellStyle name="Check Cell 2 2 2 2 2 2 2 2 2 2" xfId="1607"/>
    <cellStyle name="Check Cell 2 2 2 2 2 2 2 2 2 2 2" xfId="1608"/>
    <cellStyle name="Check Cell 2 2 2 2 2 2 2 3" xfId="1609"/>
    <cellStyle name="Check Cell 2 2 2 2 2 2 3" xfId="1610"/>
    <cellStyle name="Check Cell 2 2 2 2 2 3" xfId="1611"/>
    <cellStyle name="Check Cell 2 2 2 2 2 4" xfId="1612"/>
    <cellStyle name="Check Cell 2 2 2 2 3" xfId="1613"/>
    <cellStyle name="Check Cell 2 2 2 2 4" xfId="1614"/>
    <cellStyle name="Check Cell 2 2 2 3" xfId="1615"/>
    <cellStyle name="Check Cell 2 2 2 4" xfId="1616"/>
    <cellStyle name="Check Cell 2 2 2 5" xfId="1617"/>
    <cellStyle name="Check Cell 2 2 3" xfId="1618"/>
    <cellStyle name="Check Cell 2 2 4" xfId="1619"/>
    <cellStyle name="Check Cell 2 2 5" xfId="1620"/>
    <cellStyle name="Check Cell 2 3" xfId="1621"/>
    <cellStyle name="Check Cell 2 4" xfId="1622"/>
    <cellStyle name="Check Cell 2 5" xfId="1623"/>
    <cellStyle name="Check Cell 2 6" xfId="1624"/>
    <cellStyle name="Check Cell 2 7" xfId="1625"/>
    <cellStyle name="Check Cell 2 8" xfId="1626"/>
    <cellStyle name="Check Cell 2 9" xfId="1627"/>
    <cellStyle name="Check Cell 3" xfId="1628"/>
    <cellStyle name="Check Cell 3 2" xfId="1629"/>
    <cellStyle name="Check Cell 3 3" xfId="1630"/>
    <cellStyle name="Check Cell 4" xfId="1631"/>
    <cellStyle name="Check Cell 4 2" xfId="1632"/>
    <cellStyle name="Check Cell 4 2 2" xfId="1633"/>
    <cellStyle name="Check Cell 4 2 2 2" xfId="1634"/>
    <cellStyle name="Check Cell 4 2 2 2 2" xfId="1635"/>
    <cellStyle name="Check Cell 4 2 2 2 2 2" xfId="1636"/>
    <cellStyle name="Check Cell 4 2 2 3" xfId="1637"/>
    <cellStyle name="Check Cell 4 2 3" xfId="1638"/>
    <cellStyle name="Check Cell 4 3" xfId="1639"/>
    <cellStyle name="Check Cell 4 4" xfId="1640"/>
    <cellStyle name="Check Cell 4 5" xfId="1641"/>
    <cellStyle name="Check Cell 4 6" xfId="1642"/>
    <cellStyle name="Check Cell 5" xfId="1643"/>
    <cellStyle name="Check Cell 5 2" xfId="1644"/>
    <cellStyle name="Check Cell 5 3" xfId="1645"/>
    <cellStyle name="Check Cell 5 4" xfId="1646"/>
    <cellStyle name="Check Cell 5 5" xfId="1647"/>
    <cellStyle name="Check Cell 6" xfId="1648"/>
    <cellStyle name="Check Cell 6 2" xfId="1649"/>
    <cellStyle name="Check Cell 6 3" xfId="1650"/>
    <cellStyle name="Check Cell 7" xfId="1651"/>
    <cellStyle name="Check Cell 7 2" xfId="1652"/>
    <cellStyle name="Check Cell 7 3" xfId="1653"/>
    <cellStyle name="Check Cell 8" xfId="1654"/>
    <cellStyle name="Check Cell 8 2" xfId="1655"/>
    <cellStyle name="Check Cell 9" xfId="1656"/>
    <cellStyle name="Check Cell 9 2" xfId="1657"/>
    <cellStyle name="Explanatory Text 2" xfId="1658"/>
    <cellStyle name="Explanatory Text 10" xfId="1659"/>
    <cellStyle name="Explanatory Text 2 2" xfId="1660"/>
    <cellStyle name="Explanatory Text 2 2 2" xfId="1661"/>
    <cellStyle name="Explanatory Text 2 2 2 2" xfId="1662"/>
    <cellStyle name="Explanatory Text 2 2 2 2 2" xfId="1663"/>
    <cellStyle name="Explanatory Text 2 2 2 2 2 2" xfId="1664"/>
    <cellStyle name="Explanatory Text 2 2 2 2 2 2 2" xfId="1665"/>
    <cellStyle name="Explanatory Text 2 2 2 2 2 2 2 2" xfId="1666"/>
    <cellStyle name="Explanatory Text 2 2 2 2 2 2 2 2 2" xfId="1667"/>
    <cellStyle name="Explanatory Text 2 2 2 2 2 2 2 2 2 2" xfId="1668"/>
    <cellStyle name="Explanatory Text 2 2 2 2 2 2 2 2 2 2 2" xfId="1669"/>
    <cellStyle name="Explanatory Text 2 2 2 2 2 2 2 3" xfId="1670"/>
    <cellStyle name="Explanatory Text 2 2 2 2 2 2 3" xfId="1671"/>
    <cellStyle name="Explanatory Text 2 2 2 2 2 3" xfId="1672"/>
    <cellStyle name="Explanatory Text 2 2 2 2 2 4" xfId="1673"/>
    <cellStyle name="Explanatory Text 2 2 2 2 3" xfId="1674"/>
    <cellStyle name="Explanatory Text 2 2 2 2 4" xfId="1675"/>
    <cellStyle name="Explanatory Text 2 2 2 3" xfId="1676"/>
    <cellStyle name="Explanatory Text 2 2 2 4" xfId="1677"/>
    <cellStyle name="Explanatory Text 2 2 2 5" xfId="1678"/>
    <cellStyle name="Explanatory Text 2 2 3" xfId="1679"/>
    <cellStyle name="Explanatory Text 2 2 4" xfId="1680"/>
    <cellStyle name="Explanatory Text 2 2 5" xfId="1681"/>
    <cellStyle name="Explanatory Text 2 3" xfId="1682"/>
    <cellStyle name="Explanatory Text 2 4" xfId="1683"/>
    <cellStyle name="Explanatory Text 2 5" xfId="1684"/>
    <cellStyle name="Explanatory Text 2 6" xfId="1685"/>
    <cellStyle name="Explanatory Text 2 7" xfId="1686"/>
    <cellStyle name="Explanatory Text 2 8" xfId="1687"/>
    <cellStyle name="Explanatory Text 2 9" xfId="1688"/>
    <cellStyle name="Explanatory Text 3" xfId="1689"/>
    <cellStyle name="Explanatory Text 3 2" xfId="1690"/>
    <cellStyle name="Explanatory Text 3 3" xfId="1691"/>
    <cellStyle name="Explanatory Text 4" xfId="1692"/>
    <cellStyle name="Explanatory Text 4 2" xfId="1693"/>
    <cellStyle name="Explanatory Text 4 2 2" xfId="1694"/>
    <cellStyle name="Explanatory Text 4 2 2 2" xfId="1695"/>
    <cellStyle name="Explanatory Text 4 2 2 2 2" xfId="1696"/>
    <cellStyle name="Explanatory Text 4 2 2 2 2 2" xfId="1697"/>
    <cellStyle name="Explanatory Text 4 2 2 3" xfId="1698"/>
    <cellStyle name="Explanatory Text 4 2 3" xfId="1699"/>
    <cellStyle name="Explanatory Text 4 3" xfId="1700"/>
    <cellStyle name="Explanatory Text 4 4" xfId="1701"/>
    <cellStyle name="Explanatory Text 4 5" xfId="1702"/>
    <cellStyle name="Explanatory Text 4 6" xfId="1703"/>
    <cellStyle name="Explanatory Text 5" xfId="1704"/>
    <cellStyle name="Explanatory Text 5 2" xfId="1705"/>
    <cellStyle name="Explanatory Text 5 3" xfId="1706"/>
    <cellStyle name="Explanatory Text 5 4" xfId="1707"/>
    <cellStyle name="Explanatory Text 5 5" xfId="1708"/>
    <cellStyle name="Explanatory Text 6" xfId="1709"/>
    <cellStyle name="Explanatory Text 6 2" xfId="1710"/>
    <cellStyle name="Explanatory Text 6 3" xfId="1711"/>
    <cellStyle name="Explanatory Text 7" xfId="1712"/>
    <cellStyle name="Explanatory Text 7 2" xfId="1713"/>
    <cellStyle name="Explanatory Text 7 3" xfId="1714"/>
    <cellStyle name="Explanatory Text 8" xfId="1715"/>
    <cellStyle name="Explanatory Text 8 2" xfId="1716"/>
    <cellStyle name="Explanatory Text 9" xfId="1717"/>
    <cellStyle name="Explanatory Text 9 2" xfId="1718"/>
    <cellStyle name="Good 2" xfId="1719"/>
    <cellStyle name="Good 10" xfId="1720"/>
    <cellStyle name="Good 2 2" xfId="1721"/>
    <cellStyle name="Good 2 2 2" xfId="1722"/>
    <cellStyle name="Good 2 2 2 2" xfId="1723"/>
    <cellStyle name="Good 2 2 2 2 2" xfId="1724"/>
    <cellStyle name="Good 2 2 2 2 2 2" xfId="1725"/>
    <cellStyle name="Good 2 2 2 2 2 2 2" xfId="1726"/>
    <cellStyle name="Good 2 2 2 2 2 2 2 2" xfId="1727"/>
    <cellStyle name="Good 2 2 2 2 2 2 2 2 2" xfId="1728"/>
    <cellStyle name="Good 2 2 2 2 2 2 2 2 2 2" xfId="1729"/>
    <cellStyle name="Good 2 2 2 2 2 2 2 2 2 2 2" xfId="1730"/>
    <cellStyle name="Good 2 2 2 2 2 2 2 3" xfId="1731"/>
    <cellStyle name="Good 2 2 2 2 2 2 3" xfId="1732"/>
    <cellStyle name="Good 2 2 2 2 2 3" xfId="1733"/>
    <cellStyle name="Good 2 2 2 2 2 4" xfId="1734"/>
    <cellStyle name="Good 2 2 2 2 3" xfId="1735"/>
    <cellStyle name="Good 2 2 2 2 4" xfId="1736"/>
    <cellStyle name="Good 2 2 2 3" xfId="1737"/>
    <cellStyle name="Good 2 2 2 4" xfId="1738"/>
    <cellStyle name="Good 2 2 2 5" xfId="1739"/>
    <cellStyle name="Good 2 2 3" xfId="1740"/>
    <cellStyle name="Good 2 2 4" xfId="1741"/>
    <cellStyle name="Good 2 2 5" xfId="1742"/>
    <cellStyle name="Good 2 3" xfId="1743"/>
    <cellStyle name="Good 2 4" xfId="1744"/>
    <cellStyle name="Good 2 5" xfId="1745"/>
    <cellStyle name="Good 2 6" xfId="1746"/>
    <cellStyle name="Good 2 7" xfId="1747"/>
    <cellStyle name="Good 2 8" xfId="1748"/>
    <cellStyle name="Good 2 9" xfId="1749"/>
    <cellStyle name="Good 3" xfId="1750"/>
    <cellStyle name="Good 3 2" xfId="1751"/>
    <cellStyle name="Good 3 3" xfId="1752"/>
    <cellStyle name="Good 4" xfId="1753"/>
    <cellStyle name="Good 4 2" xfId="1754"/>
    <cellStyle name="Good 4 2 2" xfId="1755"/>
    <cellStyle name="Good 4 2 2 2" xfId="1756"/>
    <cellStyle name="Good 4 2 2 2 2" xfId="1757"/>
    <cellStyle name="Good 4 2 2 2 2 2" xfId="1758"/>
    <cellStyle name="Good 4 2 2 3" xfId="1759"/>
    <cellStyle name="Good 4 2 3" xfId="1760"/>
    <cellStyle name="Good 4 3" xfId="1761"/>
    <cellStyle name="Good 4 4" xfId="1762"/>
    <cellStyle name="Good 4 5" xfId="1763"/>
    <cellStyle name="Good 4 6" xfId="1764"/>
    <cellStyle name="Good 5" xfId="1765"/>
    <cellStyle name="Good 5 2" xfId="1766"/>
    <cellStyle name="Good 5 3" xfId="1767"/>
    <cellStyle name="Good 5 4" xfId="1768"/>
    <cellStyle name="Good 5 5" xfId="1769"/>
    <cellStyle name="Good 6" xfId="1770"/>
    <cellStyle name="Good 6 2" xfId="1771"/>
    <cellStyle name="Good 6 3" xfId="1772"/>
    <cellStyle name="Good 7" xfId="1773"/>
    <cellStyle name="Good 7 2" xfId="1774"/>
    <cellStyle name="Good 7 3" xfId="1775"/>
    <cellStyle name="Good 8" xfId="1776"/>
    <cellStyle name="Good 8 2" xfId="1777"/>
    <cellStyle name="Good 9" xfId="1778"/>
    <cellStyle name="Good 9 2" xfId="1779"/>
    <cellStyle name="Heading 1 2" xfId="1780"/>
    <cellStyle name="Heading 1 10" xfId="1781"/>
    <cellStyle name="Heading 1 2 2" xfId="1782"/>
    <cellStyle name="Heading 1 2 2 2" xfId="1783"/>
    <cellStyle name="Heading 1 2 2 2 2" xfId="1784"/>
    <cellStyle name="Heading 1 2 2 2 2 2" xfId="1785"/>
    <cellStyle name="Heading 1 2 2 2 2 2 2" xfId="1786"/>
    <cellStyle name="Heading 1 2 2 2 2 2 2 2" xfId="1787"/>
    <cellStyle name="Heading 1 2 2 2 2 2 2 2 2" xfId="1788"/>
    <cellStyle name="Heading 1 2 2 2 2 2 2 2 2 2" xfId="1789"/>
    <cellStyle name="Heading 1 2 2 2 2 2 2 2 2 2 2" xfId="1790"/>
    <cellStyle name="Heading 1 2 2 2 2 2 2 2 2 2 2 2" xfId="1791"/>
    <cellStyle name="Heading 1 2 2 2 2 2 2 2 3" xfId="1792"/>
    <cellStyle name="Heading 1 2 2 2 2 2 2 3" xfId="1793"/>
    <cellStyle name="Heading 1 2 2 2 2 2 3" xfId="1794"/>
    <cellStyle name="Heading 1 2 2 2 2 2 4" xfId="1795"/>
    <cellStyle name="Heading 1 2 2 2 2 3" xfId="1796"/>
    <cellStyle name="Heading 1 2 2 2 2 4" xfId="1797"/>
    <cellStyle name="Heading 1 2 2 2 3" xfId="1798"/>
    <cellStyle name="Heading 1 2 2 2 4" xfId="1799"/>
    <cellStyle name="Heading 1 2 2 2 5" xfId="1800"/>
    <cellStyle name="Heading 1 2 2 3" xfId="1801"/>
    <cellStyle name="Heading 1 2 2 4" xfId="1802"/>
    <cellStyle name="Heading 1 2 2 5" xfId="1803"/>
    <cellStyle name="Heading 1 2 3" xfId="1804"/>
    <cellStyle name="Heading 1 2 4" xfId="1805"/>
    <cellStyle name="Heading 1 2 5" xfId="1806"/>
    <cellStyle name="Heading 1 2 6" xfId="1807"/>
    <cellStyle name="Heading 1 2 7" xfId="1808"/>
    <cellStyle name="Heading 1 2 8" xfId="1809"/>
    <cellStyle name="Heading 1 2 9" xfId="1810"/>
    <cellStyle name="Heading 1 3" xfId="1811"/>
    <cellStyle name="Heading 1 3 2" xfId="1812"/>
    <cellStyle name="Heading 1 3 3" xfId="1813"/>
    <cellStyle name="Heading 1 4" xfId="1814"/>
    <cellStyle name="Heading 1 4 2" xfId="1815"/>
    <cellStyle name="Heading 1 4 2 2" xfId="1816"/>
    <cellStyle name="Heading 1 4 2 2 2" xfId="1817"/>
    <cellStyle name="Heading 1 4 2 2 2 2" xfId="1818"/>
    <cellStyle name="Heading 1 4 2 2 2 2 2" xfId="1819"/>
    <cellStyle name="Heading 1 4 2 2 3" xfId="1820"/>
    <cellStyle name="Heading 1 4 2 3" xfId="1821"/>
    <cellStyle name="Heading 1 4 3" xfId="1822"/>
    <cellStyle name="Heading 1 4 4" xfId="1823"/>
    <cellStyle name="Heading 1 4 5" xfId="1824"/>
    <cellStyle name="Heading 1 4 6" xfId="1825"/>
    <cellStyle name="Heading 1 5" xfId="1826"/>
    <cellStyle name="Heading 1 5 2" xfId="1827"/>
    <cellStyle name="Heading 1 5 3" xfId="1828"/>
    <cellStyle name="Heading 1 5 4" xfId="1829"/>
    <cellStyle name="Heading 1 5 5" xfId="1830"/>
    <cellStyle name="Heading 1 6" xfId="1831"/>
    <cellStyle name="Heading 1 6 2" xfId="1832"/>
    <cellStyle name="Heading 1 6 3" xfId="1833"/>
    <cellStyle name="Heading 1 7" xfId="1834"/>
    <cellStyle name="Heading 1 7 2" xfId="1835"/>
    <cellStyle name="Heading 1 7 3" xfId="1836"/>
    <cellStyle name="Heading 1 8" xfId="1837"/>
    <cellStyle name="Heading 1 8 2" xfId="1838"/>
    <cellStyle name="Heading 1 9" xfId="1839"/>
    <cellStyle name="Heading 1 9 2" xfId="1840"/>
    <cellStyle name="Heading 2 2" xfId="1841"/>
    <cellStyle name="Heading 2 10" xfId="1842"/>
    <cellStyle name="Heading 2 2 2" xfId="1843"/>
    <cellStyle name="Heading 2 2 2 2" xfId="1844"/>
    <cellStyle name="Heading 2 2 2 2 2" xfId="1845"/>
    <cellStyle name="Heading 2 2 2 2 2 2" xfId="1846"/>
    <cellStyle name="Heading 2 2 2 2 2 2 2" xfId="1847"/>
    <cellStyle name="Heading 2 2 2 2 2 2 2 2" xfId="1848"/>
    <cellStyle name="Heading 2 2 2 2 2 2 2 2 2" xfId="1849"/>
    <cellStyle name="Heading 2 2 2 2 2 2 2 2 2 2" xfId="1850"/>
    <cellStyle name="Heading 2 2 2 2 2 2 2 2 2 2 2" xfId="1851"/>
    <cellStyle name="Heading 2 2 2 2 2 2 2 2 2 2 2 2" xfId="1852"/>
    <cellStyle name="Heading 2 2 2 2 2 2 2 2 3" xfId="1853"/>
    <cellStyle name="Heading 2 2 2 2 2 2 2 3" xfId="1854"/>
    <cellStyle name="Heading 2 2 2 2 2 2 3" xfId="1855"/>
    <cellStyle name="Heading 2 2 2 2 2 2 4" xfId="1856"/>
    <cellStyle name="Heading 2 2 2 2 2 3" xfId="1857"/>
    <cellStyle name="Heading 2 2 2 2 2 4" xfId="1858"/>
    <cellStyle name="Heading 2 2 2 2 3" xfId="1859"/>
    <cellStyle name="Heading 2 2 2 2 4" xfId="1860"/>
    <cellStyle name="Heading 2 2 2 2 5" xfId="1861"/>
    <cellStyle name="Heading 2 2 2 3" xfId="1862"/>
    <cellStyle name="Heading 2 2 2 4" xfId="1863"/>
    <cellStyle name="Heading 2 2 2 5" xfId="1864"/>
    <cellStyle name="Heading 2 2 3" xfId="1865"/>
    <cellStyle name="Heading 2 2 4" xfId="1866"/>
    <cellStyle name="Heading 2 2 5" xfId="1867"/>
    <cellStyle name="Heading 2 2 6" xfId="1868"/>
    <cellStyle name="Heading 2 2 7" xfId="1869"/>
    <cellStyle name="Heading 2 2 8" xfId="1870"/>
    <cellStyle name="Heading 2 2 9" xfId="1871"/>
    <cellStyle name="Heading 2 3" xfId="1872"/>
    <cellStyle name="Heading 2 3 2" xfId="1873"/>
    <cellStyle name="Heading 2 3 3" xfId="1874"/>
    <cellStyle name="Heading 2 4" xfId="1875"/>
    <cellStyle name="Heading 2 4 2" xfId="1876"/>
    <cellStyle name="Heading 2 4 2 2" xfId="1877"/>
    <cellStyle name="Heading 2 4 2 2 2" xfId="1878"/>
    <cellStyle name="Heading 2 4 2 2 2 2" xfId="1879"/>
    <cellStyle name="Heading 2 4 2 2 2 2 2" xfId="1880"/>
    <cellStyle name="Heading 2 4 2 2 3" xfId="1881"/>
    <cellStyle name="Heading 2 4 2 3" xfId="1882"/>
    <cellStyle name="Heading 2 4 3" xfId="1883"/>
    <cellStyle name="Heading 2 4 4" xfId="1884"/>
    <cellStyle name="Heading 2 4 5" xfId="1885"/>
    <cellStyle name="Heading 2 4 6" xfId="1886"/>
    <cellStyle name="Heading 2 5" xfId="1887"/>
    <cellStyle name="Heading 2 5 2" xfId="1888"/>
    <cellStyle name="Heading 2 5 3" xfId="1889"/>
    <cellStyle name="Heading 2 5 4" xfId="1890"/>
    <cellStyle name="Heading 2 5 5" xfId="1891"/>
    <cellStyle name="Heading 2 6" xfId="1892"/>
    <cellStyle name="Heading 2 6 2" xfId="1893"/>
    <cellStyle name="Heading 2 6 3" xfId="1894"/>
    <cellStyle name="Heading 2 7" xfId="1895"/>
    <cellStyle name="Heading 2 7 2" xfId="1896"/>
    <cellStyle name="Heading 2 7 3" xfId="1897"/>
    <cellStyle name="Heading 2 8" xfId="1898"/>
    <cellStyle name="Heading 2 8 2" xfId="1899"/>
    <cellStyle name="Heading 2 9" xfId="1900"/>
    <cellStyle name="Heading 2 9 2" xfId="1901"/>
    <cellStyle name="Heading 3 2" xfId="1902"/>
    <cellStyle name="Heading 3 10" xfId="1903"/>
    <cellStyle name="Heading 3 2 2" xfId="1904"/>
    <cellStyle name="Heading 3 2 2 2" xfId="1905"/>
    <cellStyle name="Heading 3 2 2 2 2" xfId="1906"/>
    <cellStyle name="Heading 3 2 2 2 2 2" xfId="1907"/>
    <cellStyle name="Heading 3 2 2 2 2 2 2" xfId="1908"/>
    <cellStyle name="Heading 3 2 2 2 2 2 2 2" xfId="1909"/>
    <cellStyle name="Heading 3 2 2 2 2 2 2 2 2" xfId="1910"/>
    <cellStyle name="Heading 3 2 2 2 2 2 2 2 2 2" xfId="1911"/>
    <cellStyle name="Heading 3 2 2 2 2 2 2 2 2 2 2" xfId="1912"/>
    <cellStyle name="Heading 3 2 2 2 2 2 2 2 2 2 2 2" xfId="1913"/>
    <cellStyle name="Heading 3 2 2 2 2 2 2 2 3" xfId="1914"/>
    <cellStyle name="Heading 3 2 2 2 2 2 2 3" xfId="1915"/>
    <cellStyle name="Heading 3 2 2 2 2 2 3" xfId="1916"/>
    <cellStyle name="Heading 3 2 2 2 2 2 4" xfId="1917"/>
    <cellStyle name="Heading 3 2 2 2 2 3" xfId="1918"/>
    <cellStyle name="Heading 3 2 2 2 2 4" xfId="1919"/>
    <cellStyle name="Heading 3 2 2 2 3" xfId="1920"/>
    <cellStyle name="Heading 3 2 2 2 4" xfId="1921"/>
    <cellStyle name="Heading 3 2 2 2 5" xfId="1922"/>
    <cellStyle name="Heading 3 2 2 3" xfId="1923"/>
    <cellStyle name="Heading 3 2 2 4" xfId="1924"/>
    <cellStyle name="Heading 3 2 2 5" xfId="1925"/>
    <cellStyle name="Heading 3 2 3" xfId="1926"/>
    <cellStyle name="Heading 3 2 4" xfId="1927"/>
    <cellStyle name="Heading 3 2 5" xfId="1928"/>
    <cellStyle name="Heading 3 2 6" xfId="1929"/>
    <cellStyle name="Heading 3 2 7" xfId="1930"/>
    <cellStyle name="Heading 3 2 8" xfId="1931"/>
    <cellStyle name="Heading 3 2 9" xfId="1932"/>
    <cellStyle name="Heading 3 3" xfId="1933"/>
    <cellStyle name="Heading 3 3 2" xfId="1934"/>
    <cellStyle name="Heading 3 3 3" xfId="1935"/>
    <cellStyle name="Heading 3 4" xfId="1936"/>
    <cellStyle name="Heading 3 4 2" xfId="1937"/>
    <cellStyle name="Heading 3 4 2 2" xfId="1938"/>
    <cellStyle name="Heading 3 4 2 2 2" xfId="1939"/>
    <cellStyle name="Heading 3 4 2 2 2 2" xfId="1940"/>
    <cellStyle name="Heading 3 4 2 2 2 2 2" xfId="1941"/>
    <cellStyle name="Heading 3 4 2 2 3" xfId="1942"/>
    <cellStyle name="Heading 3 4 2 3" xfId="1943"/>
    <cellStyle name="Heading 3 4 3" xfId="1944"/>
    <cellStyle name="Heading 3 4 4" xfId="1945"/>
    <cellStyle name="Heading 3 4 5" xfId="1946"/>
    <cellStyle name="Heading 3 4 6" xfId="1947"/>
    <cellStyle name="Heading 3 5" xfId="1948"/>
    <cellStyle name="Heading 3 5 2" xfId="1949"/>
    <cellStyle name="Heading 3 5 3" xfId="1950"/>
    <cellStyle name="Heading 3 5 4" xfId="1951"/>
    <cellStyle name="Heading 3 5 5" xfId="1952"/>
    <cellStyle name="Heading 3 6" xfId="1953"/>
    <cellStyle name="Heading 3 6 2" xfId="1954"/>
    <cellStyle name="Heading 3 6 3" xfId="1955"/>
    <cellStyle name="Heading 3 7" xfId="1956"/>
    <cellStyle name="Heading 3 7 2" xfId="1957"/>
    <cellStyle name="Heading 3 7 3" xfId="1958"/>
    <cellStyle name="Heading 3 8" xfId="1959"/>
    <cellStyle name="Heading 3 8 2" xfId="1960"/>
    <cellStyle name="Heading 3 9" xfId="1961"/>
    <cellStyle name="Heading 3 9 2" xfId="1962"/>
    <cellStyle name="Heading 4 2" xfId="1963"/>
    <cellStyle name="Heading 4 10" xfId="1964"/>
    <cellStyle name="Heading 4 2 2" xfId="1965"/>
    <cellStyle name="Heading 4 2 2 2" xfId="1966"/>
    <cellStyle name="Heading 4 2 2 2 2" xfId="1967"/>
    <cellStyle name="Heading 4 2 2 2 2 2" xfId="1968"/>
    <cellStyle name="Heading 4 2 2 2 2 2 2" xfId="1969"/>
    <cellStyle name="Heading 4 2 2 2 2 2 2 2" xfId="1970"/>
    <cellStyle name="Heading 4 2 2 2 2 2 2 2 2" xfId="1971"/>
    <cellStyle name="Heading 4 2 2 2 2 2 2 2 2 2" xfId="1972"/>
    <cellStyle name="Heading 4 2 2 2 2 2 2 2 2 2 2" xfId="1973"/>
    <cellStyle name="Heading 4 2 2 2 2 2 2 2 2 2 2 2" xfId="1974"/>
    <cellStyle name="Heading 4 2 2 2 2 2 2 2 3" xfId="1975"/>
    <cellStyle name="Heading 4 2 2 2 2 2 2 3" xfId="1976"/>
    <cellStyle name="Heading 4 2 2 2 2 2 3" xfId="1977"/>
    <cellStyle name="Heading 4 2 2 2 2 2 4" xfId="1978"/>
    <cellStyle name="Heading 4 2 2 2 2 3" xfId="1979"/>
    <cellStyle name="Heading 4 2 2 2 2 4" xfId="1980"/>
    <cellStyle name="Heading 4 2 2 2 3" xfId="1981"/>
    <cellStyle name="Heading 4 2 2 2 4" xfId="1982"/>
    <cellStyle name="Heading 4 2 2 2 5" xfId="1983"/>
    <cellStyle name="Heading 4 2 2 3" xfId="1984"/>
    <cellStyle name="Heading 4 2 2 4" xfId="1985"/>
    <cellStyle name="Heading 4 2 2 5" xfId="1986"/>
    <cellStyle name="Heading 4 2 3" xfId="1987"/>
    <cellStyle name="Heading 4 2 4" xfId="1988"/>
    <cellStyle name="Heading 4 2 5" xfId="1989"/>
    <cellStyle name="Heading 4 2 6" xfId="1990"/>
    <cellStyle name="Heading 4 2 7" xfId="1991"/>
    <cellStyle name="Heading 4 2 8" xfId="1992"/>
    <cellStyle name="Heading 4 2 9" xfId="1993"/>
    <cellStyle name="Heading 4 3" xfId="1994"/>
    <cellStyle name="Heading 4 3 2" xfId="1995"/>
    <cellStyle name="Heading 4 3 3" xfId="1996"/>
    <cellStyle name="Heading 4 4" xfId="1997"/>
    <cellStyle name="Heading 4 4 2" xfId="1998"/>
    <cellStyle name="Heading 4 4 2 2" xfId="1999"/>
    <cellStyle name="Heading 4 4 2 2 2" xfId="2000"/>
    <cellStyle name="Heading 4 4 2 2 2 2" xfId="2001"/>
    <cellStyle name="Heading 4 4 2 2 2 2 2" xfId="2002"/>
    <cellStyle name="Heading 4 4 2 2 3" xfId="2003"/>
    <cellStyle name="Heading 4 4 2 3" xfId="2004"/>
    <cellStyle name="Heading 4 4 3" xfId="2005"/>
    <cellStyle name="Heading 4 4 4" xfId="2006"/>
    <cellStyle name="Heading 4 4 5" xfId="2007"/>
    <cellStyle name="Heading 4 4 6" xfId="2008"/>
    <cellStyle name="Heading 4 5" xfId="2009"/>
    <cellStyle name="Heading 4 5 2" xfId="2010"/>
    <cellStyle name="Heading 4 5 3" xfId="2011"/>
    <cellStyle name="Heading 4 5 4" xfId="2012"/>
    <cellStyle name="Heading 4 5 5" xfId="2013"/>
    <cellStyle name="Heading 4 6" xfId="2014"/>
    <cellStyle name="Heading 4 6 2" xfId="2015"/>
    <cellStyle name="Heading 4 6 3" xfId="2016"/>
    <cellStyle name="Heading 4 7" xfId="2017"/>
    <cellStyle name="Heading 4 7 2" xfId="2018"/>
    <cellStyle name="Heading 4 7 3" xfId="2019"/>
    <cellStyle name="Heading 4 8" xfId="2020"/>
    <cellStyle name="Heading 4 8 2" xfId="2021"/>
    <cellStyle name="Heading 4 9" xfId="2022"/>
    <cellStyle name="Heading 4 9 2" xfId="2023"/>
    <cellStyle name="Input 2" xfId="2024"/>
    <cellStyle name="Input 10" xfId="2025"/>
    <cellStyle name="Input 2 2" xfId="2026"/>
    <cellStyle name="Input 2 2 2" xfId="2027"/>
    <cellStyle name="Input 2 2 2 2" xfId="2028"/>
    <cellStyle name="Input 2 2 2 2 2" xfId="2029"/>
    <cellStyle name="Input 2 2 2 2 2 2" xfId="2030"/>
    <cellStyle name="Input 2 2 2 2 2 2 2" xfId="2031"/>
    <cellStyle name="Input 2 2 2 2 2 2 2 2" xfId="2032"/>
    <cellStyle name="Input 2 2 2 2 2 2 2 2 2" xfId="2033"/>
    <cellStyle name="Input 2 2 2 2 2 2 2 2 2 2" xfId="2034"/>
    <cellStyle name="Input 2 2 2 2 2 2 2 2 2 2 2" xfId="2035"/>
    <cellStyle name="Input 2 2 2 2 2 2 2 3" xfId="2036"/>
    <cellStyle name="Input 2 2 2 2 2 2 3" xfId="2037"/>
    <cellStyle name="Input 2 2 2 2 2 3" xfId="2038"/>
    <cellStyle name="Input 2 2 2 2 2 4" xfId="2039"/>
    <cellStyle name="Input 2 2 2 2 3" xfId="2040"/>
    <cellStyle name="Input 2 2 2 2 4" xfId="2041"/>
    <cellStyle name="Input 2 2 2 3" xfId="2042"/>
    <cellStyle name="Input 2 2 2 4" xfId="2043"/>
    <cellStyle name="Input 2 2 2 5" xfId="2044"/>
    <cellStyle name="Input 2 2 3" xfId="2045"/>
    <cellStyle name="Input 2 2 4" xfId="2046"/>
    <cellStyle name="Input 2 2 5" xfId="2047"/>
    <cellStyle name="Input 2 3" xfId="2048"/>
    <cellStyle name="Input 2 4" xfId="2049"/>
    <cellStyle name="Input 2 5" xfId="2050"/>
    <cellStyle name="Input 2 6" xfId="2051"/>
    <cellStyle name="Input 2 7" xfId="2052"/>
    <cellStyle name="Input 2 8" xfId="2053"/>
    <cellStyle name="Input 2 9" xfId="2054"/>
    <cellStyle name="Input 3" xfId="2055"/>
    <cellStyle name="Input 3 2" xfId="2056"/>
    <cellStyle name="Input 3 3" xfId="2057"/>
    <cellStyle name="Input 4" xfId="2058"/>
    <cellStyle name="Input 4 2" xfId="2059"/>
    <cellStyle name="Input 4 2 2" xfId="2060"/>
    <cellStyle name="Input 4 2 2 2" xfId="2061"/>
    <cellStyle name="Input 4 2 2 2 2" xfId="2062"/>
    <cellStyle name="Input 4 2 2 2 2 2" xfId="2063"/>
    <cellStyle name="Input 4 2 2 3" xfId="2064"/>
    <cellStyle name="Input 4 2 3" xfId="2065"/>
    <cellStyle name="Input 4 3" xfId="2066"/>
    <cellStyle name="Input 4 4" xfId="2067"/>
    <cellStyle name="Input 4 5" xfId="2068"/>
    <cellStyle name="Input 4 6" xfId="2069"/>
    <cellStyle name="Input 5" xfId="2070"/>
    <cellStyle name="Input 5 2" xfId="2071"/>
    <cellStyle name="Input 5 3" xfId="2072"/>
    <cellStyle name="Input 5 4" xfId="2073"/>
    <cellStyle name="Input 5 5" xfId="2074"/>
    <cellStyle name="Input 6" xfId="2075"/>
    <cellStyle name="Input 6 2" xfId="2076"/>
    <cellStyle name="Input 6 3" xfId="2077"/>
    <cellStyle name="Input 7" xfId="2078"/>
    <cellStyle name="Input 7 2" xfId="2079"/>
    <cellStyle name="Input 7 3" xfId="2080"/>
    <cellStyle name="Input 8" xfId="2081"/>
    <cellStyle name="Input 8 2" xfId="2082"/>
    <cellStyle name="Input 9" xfId="2083"/>
    <cellStyle name="Input 9 2" xfId="2084"/>
    <cellStyle name="Linked Cell 2" xfId="2085"/>
    <cellStyle name="Linked Cell 10" xfId="2086"/>
    <cellStyle name="Linked Cell 2 2" xfId="2087"/>
    <cellStyle name="Linked Cell 2 2 2" xfId="2088"/>
    <cellStyle name="Linked Cell 2 2 2 2" xfId="2089"/>
    <cellStyle name="Linked Cell 2 2 2 2 2" xfId="2090"/>
    <cellStyle name="Linked Cell 2 2 2 2 2 2" xfId="2091"/>
    <cellStyle name="Linked Cell 2 2 2 2 2 2 2" xfId="2092"/>
    <cellStyle name="Linked Cell 2 2 2 2 2 2 2 2" xfId="2093"/>
    <cellStyle name="Linked Cell 2 2 2 2 2 2 2 2 2" xfId="2094"/>
    <cellStyle name="Linked Cell 2 2 2 2 2 2 2 2 2 2" xfId="2095"/>
    <cellStyle name="Linked Cell 2 2 2 2 2 2 2 2 2 2 2" xfId="2096"/>
    <cellStyle name="Linked Cell 2 2 2 2 2 2 2 3" xfId="2097"/>
    <cellStyle name="Linked Cell 2 2 2 2 2 2 3" xfId="2098"/>
    <cellStyle name="Linked Cell 2 2 2 2 2 3" xfId="2099"/>
    <cellStyle name="Linked Cell 2 2 2 2 2 4" xfId="2100"/>
    <cellStyle name="Linked Cell 2 2 2 2 3" xfId="2101"/>
    <cellStyle name="Linked Cell 2 2 2 2 4" xfId="2102"/>
    <cellStyle name="Linked Cell 2 2 2 3" xfId="2103"/>
    <cellStyle name="Linked Cell 2 2 2 4" xfId="2104"/>
    <cellStyle name="Linked Cell 2 2 2 5" xfId="2105"/>
    <cellStyle name="Linked Cell 2 2 3" xfId="2106"/>
    <cellStyle name="Linked Cell 2 2 4" xfId="2107"/>
    <cellStyle name="Linked Cell 2 2 5" xfId="2108"/>
    <cellStyle name="Linked Cell 2 3" xfId="2109"/>
    <cellStyle name="Linked Cell 2 4" xfId="2110"/>
    <cellStyle name="Linked Cell 2 5" xfId="2111"/>
    <cellStyle name="Linked Cell 2 6" xfId="2112"/>
    <cellStyle name="Linked Cell 2 7" xfId="2113"/>
    <cellStyle name="Linked Cell 2 8" xfId="2114"/>
    <cellStyle name="Linked Cell 2 9" xfId="2115"/>
    <cellStyle name="Linked Cell 3" xfId="2116"/>
    <cellStyle name="Linked Cell 3 2" xfId="2117"/>
    <cellStyle name="Linked Cell 3 3" xfId="2118"/>
    <cellStyle name="Linked Cell 4" xfId="2119"/>
    <cellStyle name="Linked Cell 4 2" xfId="2120"/>
    <cellStyle name="Linked Cell 4 2 2" xfId="2121"/>
    <cellStyle name="Linked Cell 4 2 2 2" xfId="2122"/>
    <cellStyle name="Linked Cell 4 2 2 2 2" xfId="2123"/>
    <cellStyle name="Linked Cell 4 2 2 2 2 2" xfId="2124"/>
    <cellStyle name="Linked Cell 4 2 2 3" xfId="2125"/>
    <cellStyle name="Linked Cell 4 2 3" xfId="2126"/>
    <cellStyle name="Linked Cell 4 3" xfId="2127"/>
    <cellStyle name="Linked Cell 4 4" xfId="2128"/>
    <cellStyle name="Linked Cell 4 5" xfId="2129"/>
    <cellStyle name="Linked Cell 4 6" xfId="2130"/>
    <cellStyle name="Linked Cell 5" xfId="2131"/>
    <cellStyle name="Linked Cell 5 2" xfId="2132"/>
    <cellStyle name="Linked Cell 5 3" xfId="2133"/>
    <cellStyle name="Linked Cell 5 4" xfId="2134"/>
    <cellStyle name="Linked Cell 5 5" xfId="2135"/>
    <cellStyle name="Linked Cell 6" xfId="2136"/>
    <cellStyle name="Linked Cell 6 2" xfId="2137"/>
    <cellStyle name="Linked Cell 6 3" xfId="2138"/>
    <cellStyle name="Linked Cell 7" xfId="2139"/>
    <cellStyle name="Linked Cell 7 2" xfId="2140"/>
    <cellStyle name="Linked Cell 7 3" xfId="2141"/>
    <cellStyle name="Linked Cell 8" xfId="2142"/>
    <cellStyle name="Linked Cell 8 2" xfId="2143"/>
    <cellStyle name="Linked Cell 9" xfId="2144"/>
    <cellStyle name="Linked Cell 9 2" xfId="2145"/>
    <cellStyle name="Neutral 2" xfId="2146"/>
    <cellStyle name="Neutral 10" xfId="2147"/>
    <cellStyle name="Neutral 2 2" xfId="2148"/>
    <cellStyle name="Neutral 2 2 2" xfId="2149"/>
    <cellStyle name="Neutral 2 2 2 2" xfId="2150"/>
    <cellStyle name="Neutral 2 2 2 2 2" xfId="2151"/>
    <cellStyle name="Neutral 2 2 2 2 2 2" xfId="2152"/>
    <cellStyle name="Neutral 2 2 2 2 2 2 2" xfId="2153"/>
    <cellStyle name="Neutral 2 2 2 2 2 2 2 2" xfId="2154"/>
    <cellStyle name="Neutral 2 2 2 2 2 2 2 2 2" xfId="2155"/>
    <cellStyle name="Neutral 2 2 2 2 2 2 2 2 2 2" xfId="2156"/>
    <cellStyle name="Neutral 2 2 2 2 2 2 2 2 2 2 2" xfId="2157"/>
    <cellStyle name="Neutral 2 2 2 2 2 2 2 3" xfId="2158"/>
    <cellStyle name="Neutral 2 2 2 2 2 2 3" xfId="2159"/>
    <cellStyle name="Neutral 2 2 2 2 2 3" xfId="2160"/>
    <cellStyle name="Neutral 2 2 2 2 2 4" xfId="2161"/>
    <cellStyle name="Neutral 2 2 2 2 3" xfId="2162"/>
    <cellStyle name="Neutral 2 2 2 2 4" xfId="2163"/>
    <cellStyle name="Neutral 2 2 2 3" xfId="2164"/>
    <cellStyle name="Neutral 2 2 2 4" xfId="2165"/>
    <cellStyle name="Neutral 2 2 2 5" xfId="2166"/>
    <cellStyle name="Neutral 2 2 3" xfId="2167"/>
    <cellStyle name="Neutral 2 2 4" xfId="2168"/>
    <cellStyle name="Neutral 2 2 5" xfId="2169"/>
    <cellStyle name="Neutral 2 3" xfId="2170"/>
    <cellStyle name="Neutral 2 4" xfId="2171"/>
    <cellStyle name="Neutral 2 5" xfId="2172"/>
    <cellStyle name="Neutral 2 6" xfId="2173"/>
    <cellStyle name="Neutral 2 7" xfId="2174"/>
    <cellStyle name="Neutral 2 8" xfId="2175"/>
    <cellStyle name="Neutral 2 9" xfId="2176"/>
    <cellStyle name="Neutral 3" xfId="2177"/>
    <cellStyle name="Neutral 3 2" xfId="2178"/>
    <cellStyle name="Neutral 3 3" xfId="2179"/>
    <cellStyle name="Neutral 4" xfId="2180"/>
    <cellStyle name="Neutral 4 2" xfId="2181"/>
    <cellStyle name="Neutral 4 2 2" xfId="2182"/>
    <cellStyle name="Neutral 4 2 2 2" xfId="2183"/>
    <cellStyle name="Neutral 4 2 2 2 2" xfId="2184"/>
    <cellStyle name="Neutral 4 2 2 2 2 2" xfId="2185"/>
    <cellStyle name="Neutral 4 2 2 3" xfId="2186"/>
    <cellStyle name="Neutral 4 2 3" xfId="2187"/>
    <cellStyle name="Neutral 4 3" xfId="2188"/>
    <cellStyle name="Neutral 4 4" xfId="2189"/>
    <cellStyle name="Neutral 4 5" xfId="2190"/>
    <cellStyle name="Neutral 4 6" xfId="2191"/>
    <cellStyle name="Neutral 5" xfId="2192"/>
    <cellStyle name="Neutral 5 2" xfId="2193"/>
    <cellStyle name="Neutral 5 3" xfId="2194"/>
    <cellStyle name="Neutral 5 4" xfId="2195"/>
    <cellStyle name="Neutral 5 5" xfId="2196"/>
    <cellStyle name="Neutral 6" xfId="2197"/>
    <cellStyle name="Neutral 6 2" xfId="2198"/>
    <cellStyle name="Neutral 6 3" xfId="2199"/>
    <cellStyle name="Neutral 7" xfId="2200"/>
    <cellStyle name="Neutral 7 2" xfId="2201"/>
    <cellStyle name="Neutral 7 3" xfId="2202"/>
    <cellStyle name="Neutral 8" xfId="2203"/>
    <cellStyle name="Neutral 8 2" xfId="2204"/>
    <cellStyle name="Neutral 9" xfId="2205"/>
    <cellStyle name="Neutral 9 2" xfId="2206"/>
    <cellStyle name="Normal 13" xfId="2207"/>
    <cellStyle name="Normal 13 2" xfId="2208"/>
    <cellStyle name="Normal 14" xfId="2209"/>
    <cellStyle name="Normal 14 2" xfId="2210"/>
    <cellStyle name="Normal 14 3" xfId="2211"/>
    <cellStyle name="Normal 16" xfId="2212"/>
    <cellStyle name="Normal 2 3" xfId="2213"/>
    <cellStyle name="Normal 2 2 2" xfId="2214"/>
    <cellStyle name="Normal 2 2 2 2" xfId="2215"/>
    <cellStyle name="Normal 2 2 2 2 2" xfId="2216"/>
    <cellStyle name="Normal 2 2 2 2 2 2" xfId="2217"/>
    <cellStyle name="Normal 2 2 2 2 2 2 2" xfId="2218"/>
    <cellStyle name="Normal 2 2 2 2 2 2 2 2" xfId="2219"/>
    <cellStyle name="Normal 2 2 2 2 2 2 2 2 2" xfId="2220"/>
    <cellStyle name="Normal 2 2 2 2 2 2 2 2 2 2" xfId="2221"/>
    <cellStyle name="Normal 2 2 2 2 2 2 2 2 2 2 2" xfId="2222"/>
    <cellStyle name="Normal 2 2 2 2 2 2 2 3" xfId="2223"/>
    <cellStyle name="Normal 2 2 2 2 2 2 3" xfId="2224"/>
    <cellStyle name="Normal 2 2 2 2 2 3" xfId="2225"/>
    <cellStyle name="Normal 2 2 2 2 2 4" xfId="2226"/>
    <cellStyle name="Normal 2 2 2 2 3" xfId="2227"/>
    <cellStyle name="Normal 2 2 2 2 4" xfId="2228"/>
    <cellStyle name="Normal 2 2 2 3" xfId="2229"/>
    <cellStyle name="Normal 2 2 2 4" xfId="2230"/>
    <cellStyle name="Normal 2 2 2 5" xfId="2231"/>
    <cellStyle name="Normal 2 2 3" xfId="2232"/>
    <cellStyle name="Normal 2 2 4" xfId="2233"/>
    <cellStyle name="Normal 2 2 5" xfId="2234"/>
    <cellStyle name="Normal 2 3 2" xfId="2235"/>
    <cellStyle name="Normal 2 4" xfId="2236"/>
    <cellStyle name="Normal 2 5" xfId="2237"/>
    <cellStyle name="Normal 2 6" xfId="2238"/>
    <cellStyle name="Normal 2 7" xfId="2239"/>
    <cellStyle name="Normal 2 8" xfId="2240"/>
    <cellStyle name="Normal 2 9" xfId="2241"/>
    <cellStyle name="Normal 3 2" xfId="2242"/>
    <cellStyle name="20% - Accent1 2 2 2 2 2 2 2 2 3" xfId="2243"/>
    <cellStyle name="Normal 5 2" xfId="2244"/>
    <cellStyle name="Normal 7 2" xfId="2245"/>
    <cellStyle name="Normal 7 2 2" xfId="2246"/>
    <cellStyle name="20% - Accent1 2 2 2 2 2 2 2 4" xfId="2247"/>
    <cellStyle name="Normal 9 2" xfId="2248"/>
    <cellStyle name="20% - Accent1 2 2 2 2 2 2 4" xfId="2249"/>
    <cellStyle name="20% - Accent1 2 2 2 2 2 5" xfId="2250"/>
    <cellStyle name="20% - Accent1 2 2 2 2 5" xfId="2251"/>
    <cellStyle name="20% - Accent1 2 2 2 6" xfId="2252"/>
    <cellStyle name="20% - Accent1 2 2 6" xfId="2253"/>
    <cellStyle name="20% - Accent1 2 10" xfId="2254"/>
    <cellStyle name="20% - Accent1 11" xfId="2255"/>
    <cellStyle name="Normal 8" xfId="2256"/>
    <cellStyle name="Note 2" xfId="2257"/>
    <cellStyle name="Note 10" xfId="2258"/>
    <cellStyle name="Note 11" xfId="2259"/>
    <cellStyle name="Note 11 2" xfId="2260"/>
    <cellStyle name="Note 12" xfId="2261"/>
    <cellStyle name="Note 12 2" xfId="2262"/>
    <cellStyle name="Note 13" xfId="2263"/>
    <cellStyle name="Note 13 2" xfId="2264"/>
    <cellStyle name="Note 13 3" xfId="2265"/>
    <cellStyle name="Note 14" xfId="2266"/>
    <cellStyle name="Note 14 2" xfId="2267"/>
    <cellStyle name="Note 14 3" xfId="2268"/>
    <cellStyle name="Note 14 4" xfId="2269"/>
    <cellStyle name="Note 15" xfId="2270"/>
    <cellStyle name="Note 15 2" xfId="2271"/>
    <cellStyle name="Note 16" xfId="2272"/>
    <cellStyle name="Note 2 2" xfId="2273"/>
    <cellStyle name="Note 3" xfId="2274"/>
    <cellStyle name="Note 4" xfId="2275"/>
    <cellStyle name="Note 5" xfId="2276"/>
    <cellStyle name="Note 6" xfId="2277"/>
    <cellStyle name="Note 7" xfId="2278"/>
    <cellStyle name="Note 8" xfId="2279"/>
    <cellStyle name="Note 9" xfId="2280"/>
    <cellStyle name="Output 2" xfId="2281"/>
    <cellStyle name="Output 10" xfId="2282"/>
    <cellStyle name="Output 2 2" xfId="2283"/>
    <cellStyle name="Output 2 2 2" xfId="2284"/>
    <cellStyle name="Output 2 2 2 2" xfId="2285"/>
    <cellStyle name="Output 2 2 2 2 2" xfId="2286"/>
    <cellStyle name="Output 2 2 2 2 2 2" xfId="2287"/>
    <cellStyle name="Output 2 2 2 2 2 2 2" xfId="2288"/>
    <cellStyle name="Output 2 2 2 2 2 2 2 2" xfId="2289"/>
    <cellStyle name="Output 2 2 2 2 2 2 2 2 2" xfId="2290"/>
    <cellStyle name="Output 2 2 2 2 2 2 2 2 2 2" xfId="2291"/>
    <cellStyle name="Output 2 2 2 2 2 2 2 2 2 2 2" xfId="2292"/>
    <cellStyle name="Output 2 2 2 2 2 2 2 3" xfId="2293"/>
    <cellStyle name="Output 2 2 2 2 2 2 3" xfId="2294"/>
    <cellStyle name="Output 2 2 2 2 2 3" xfId="2295"/>
    <cellStyle name="Output 2 2 2 2 2 4" xfId="2296"/>
    <cellStyle name="Output 2 2 2 2 3" xfId="2297"/>
    <cellStyle name="Output 2 2 2 2 4" xfId="2298"/>
    <cellStyle name="Output 2 2 2 3" xfId="2299"/>
    <cellStyle name="Output 2 2 2 4" xfId="2300"/>
    <cellStyle name="Output 2 2 2 5" xfId="2301"/>
    <cellStyle name="Output 2 2 3" xfId="2302"/>
    <cellStyle name="Output 2 2 4" xfId="2303"/>
    <cellStyle name="Output 2 2 5" xfId="2304"/>
    <cellStyle name="Output 2 3" xfId="2305"/>
    <cellStyle name="Output 2 4" xfId="2306"/>
    <cellStyle name="Output 2 5" xfId="2307"/>
    <cellStyle name="Output 2 6" xfId="2308"/>
    <cellStyle name="Output 2 7" xfId="2309"/>
    <cellStyle name="Output 2 8" xfId="2310"/>
    <cellStyle name="Output 2 9" xfId="2311"/>
    <cellStyle name="Output 3" xfId="2312"/>
    <cellStyle name="Output 3 2" xfId="2313"/>
    <cellStyle name="Output 3 3" xfId="2314"/>
    <cellStyle name="Output 4" xfId="2315"/>
    <cellStyle name="Output 4 2" xfId="2316"/>
    <cellStyle name="Output 4 2 2" xfId="2317"/>
    <cellStyle name="Output 4 2 2 2" xfId="2318"/>
    <cellStyle name="Output 4 2 2 2 2" xfId="2319"/>
    <cellStyle name="Output 4 2 2 2 2 2" xfId="2320"/>
    <cellStyle name="Output 4 2 2 3" xfId="2321"/>
    <cellStyle name="Output 4 2 3" xfId="2322"/>
    <cellStyle name="Output 4 3" xfId="2323"/>
    <cellStyle name="Output 4 4" xfId="2324"/>
    <cellStyle name="Output 4 5" xfId="2325"/>
    <cellStyle name="Output 4 6" xfId="2326"/>
    <cellStyle name="Output 5" xfId="2327"/>
    <cellStyle name="Output 5 2" xfId="2328"/>
    <cellStyle name="Output 5 3" xfId="2329"/>
    <cellStyle name="Output 5 4" xfId="2330"/>
    <cellStyle name="Output 5 5" xfId="2331"/>
    <cellStyle name="Output 6" xfId="2332"/>
    <cellStyle name="Output 6 2" xfId="2333"/>
    <cellStyle name="Output 6 3" xfId="2334"/>
    <cellStyle name="Output 7" xfId="2335"/>
    <cellStyle name="Output 7 2" xfId="2336"/>
    <cellStyle name="Output 7 3" xfId="2337"/>
    <cellStyle name="Output 8" xfId="2338"/>
    <cellStyle name="Output 8 2" xfId="2339"/>
    <cellStyle name="Output 9" xfId="2340"/>
    <cellStyle name="Output 9 2" xfId="2341"/>
    <cellStyle name="Title 2" xfId="2342"/>
    <cellStyle name="Title 2 2" xfId="2343"/>
    <cellStyle name="Title 2 2 2" xfId="2344"/>
    <cellStyle name="Title 2 2 2 2" xfId="2345"/>
    <cellStyle name="Title 2 2 2 2 2" xfId="2346"/>
    <cellStyle name="Title 2 2 2 2 2 2" xfId="2347"/>
    <cellStyle name="Title 2 2 2 2 2 2 2" xfId="2348"/>
    <cellStyle name="Title 2 2 2 2 2 2 2 2" xfId="2349"/>
    <cellStyle name="Title 2 2 2 2 2 2 2 2 2" xfId="2350"/>
    <cellStyle name="Title 2 2 2 2 2 2 2 2 2 2" xfId="2351"/>
    <cellStyle name="Title 2 2 2 2 2 2 3" xfId="2352"/>
    <cellStyle name="Title 2 2 2 2 2 3" xfId="2353"/>
    <cellStyle name="Title 2 2 2 2 3" xfId="2354"/>
    <cellStyle name="Title 2 2 2 2 4" xfId="2355"/>
    <cellStyle name="Title 2 2 2 3" xfId="2356"/>
    <cellStyle name="Title 2 2 2 4" xfId="2357"/>
    <cellStyle name="Title 2 2 3" xfId="2358"/>
    <cellStyle name="Title 2 2 4" xfId="2359"/>
    <cellStyle name="Title 2 2 5" xfId="2360"/>
    <cellStyle name="Title 2 3" xfId="2361"/>
    <cellStyle name="Title 2 4" xfId="2362"/>
    <cellStyle name="Title 2 5" xfId="2363"/>
    <cellStyle name="Title 3" xfId="2364"/>
    <cellStyle name="Title 3 2" xfId="2365"/>
    <cellStyle name="Title 3 3" xfId="2366"/>
    <cellStyle name="Title 3 4" xfId="2367"/>
    <cellStyle name="Title 4" xfId="2368"/>
    <cellStyle name="Title 4 2" xfId="2369"/>
    <cellStyle name="Title 4 3" xfId="2370"/>
    <cellStyle name="Title 4 4" xfId="2371"/>
    <cellStyle name="Title 5" xfId="2372"/>
    <cellStyle name="Title 5 2" xfId="2373"/>
    <cellStyle name="Title 5 3" xfId="2374"/>
    <cellStyle name="Title 6" xfId="2375"/>
    <cellStyle name="Title 6 2" xfId="2376"/>
    <cellStyle name="Title 6 3" xfId="2377"/>
    <cellStyle name="Title 7" xfId="2378"/>
    <cellStyle name="Title 7 2" xfId="2379"/>
    <cellStyle name="Title 8" xfId="2380"/>
    <cellStyle name="Title 8 2" xfId="2381"/>
    <cellStyle name="Title 9" xfId="2382"/>
    <cellStyle name="Total 2" xfId="2383"/>
    <cellStyle name="Total 10" xfId="2384"/>
    <cellStyle name="Total 2 2" xfId="2385"/>
    <cellStyle name="Total 2 2 2" xfId="2386"/>
    <cellStyle name="Total 2 2 2 2" xfId="2387"/>
    <cellStyle name="Total 2 2 2 2 2" xfId="2388"/>
    <cellStyle name="Total 2 2 2 2 2 2" xfId="2389"/>
    <cellStyle name="Total 2 2 2 2 2 2 2" xfId="2390"/>
    <cellStyle name="Total 2 2 2 2 2 2 2 2" xfId="2391"/>
    <cellStyle name="Total 2 2 2 2 2 2 2 2 2" xfId="2392"/>
    <cellStyle name="Total 2 2 2 2 2 2 2 2 2 2" xfId="2393"/>
    <cellStyle name="Total 2 2 2 2 2 2 2 2 2 2 2" xfId="2394"/>
    <cellStyle name="Total 2 2 2 2 2 2 2 3" xfId="2395"/>
    <cellStyle name="Total 2 2 2 2 2 2 3" xfId="2396"/>
    <cellStyle name="Total 2 2 2 2 2 3" xfId="2397"/>
    <cellStyle name="Total 2 2 2 2 2 4" xfId="2398"/>
    <cellStyle name="Total 2 2 2 2 3" xfId="2399"/>
    <cellStyle name="Total 2 2 2 2 4" xfId="2400"/>
    <cellStyle name="Total 2 2 2 3" xfId="2401"/>
    <cellStyle name="Total 2 2 2 4" xfId="2402"/>
    <cellStyle name="Total 2 2 2 5" xfId="2403"/>
    <cellStyle name="Total 2 2 3" xfId="2404"/>
    <cellStyle name="Total 2 2 4" xfId="2405"/>
    <cellStyle name="Total 2 2 5" xfId="2406"/>
    <cellStyle name="Total 2 3" xfId="2407"/>
    <cellStyle name="Total 2 4" xfId="2408"/>
    <cellStyle name="Total 2 5" xfId="2409"/>
    <cellStyle name="Total 2 6" xfId="2410"/>
    <cellStyle name="Total 2 7" xfId="2411"/>
    <cellStyle name="Total 2 8" xfId="2412"/>
    <cellStyle name="Total 2 9" xfId="2413"/>
    <cellStyle name="Total 3" xfId="2414"/>
    <cellStyle name="Total 3 2" xfId="2415"/>
    <cellStyle name="Total 3 3" xfId="2416"/>
    <cellStyle name="Total 4" xfId="2417"/>
    <cellStyle name="Total 4 2" xfId="2418"/>
    <cellStyle name="Total 4 2 2" xfId="2419"/>
    <cellStyle name="Total 4 2 2 2" xfId="2420"/>
    <cellStyle name="Total 4 2 2 2 2" xfId="2421"/>
    <cellStyle name="Total 4 2 2 2 2 2" xfId="2422"/>
    <cellStyle name="Total 4 2 2 3" xfId="2423"/>
    <cellStyle name="Total 4 2 3" xfId="2424"/>
    <cellStyle name="Total 4 3" xfId="2425"/>
    <cellStyle name="Total 4 4" xfId="2426"/>
    <cellStyle name="Total 4 5" xfId="2427"/>
    <cellStyle name="Total 4 6" xfId="2428"/>
    <cellStyle name="Total 5" xfId="2429"/>
    <cellStyle name="Total 5 2" xfId="2430"/>
    <cellStyle name="Total 5 3" xfId="2431"/>
    <cellStyle name="Total 5 4" xfId="2432"/>
    <cellStyle name="Total 5 5" xfId="2433"/>
    <cellStyle name="Total 6" xfId="2434"/>
    <cellStyle name="Total 6 2" xfId="2435"/>
    <cellStyle name="Total 6 3" xfId="2436"/>
    <cellStyle name="Total 7" xfId="2437"/>
    <cellStyle name="Total 7 2" xfId="2438"/>
    <cellStyle name="Total 7 3" xfId="2439"/>
    <cellStyle name="Total 8" xfId="2440"/>
    <cellStyle name="Total 8 2" xfId="2441"/>
    <cellStyle name="Total 9" xfId="2442"/>
    <cellStyle name="Total 9 2" xfId="2443"/>
    <cellStyle name="Warning Text 2" xfId="2444"/>
    <cellStyle name="Warning Text 10" xfId="2445"/>
    <cellStyle name="Warning Text 2 2" xfId="2446"/>
    <cellStyle name="Warning Text 2 2 2" xfId="2447"/>
    <cellStyle name="Warning Text 2 2 2 2" xfId="2448"/>
    <cellStyle name="Warning Text 2 2 2 2 2" xfId="2449"/>
    <cellStyle name="Warning Text 2 2 2 2 2 2" xfId="2450"/>
    <cellStyle name="Warning Text 2 2 2 2 2 2 2" xfId="2451"/>
    <cellStyle name="Warning Text 2 2 2 2 2 2 2 2" xfId="2452"/>
    <cellStyle name="Warning Text 2 2 2 2 2 2 2 2 2" xfId="2453"/>
    <cellStyle name="Warning Text 2 2 2 2 2 2 2 2 2 2" xfId="2454"/>
    <cellStyle name="Warning Text 2 2 2 2 2 2 2 2 2 2 2" xfId="2455"/>
    <cellStyle name="Warning Text 2 2 2 2 2 2 2 3" xfId="2456"/>
    <cellStyle name="Warning Text 2 2 2 2 2 2 3" xfId="2457"/>
    <cellStyle name="Warning Text 2 2 2 2 2 3" xfId="2458"/>
    <cellStyle name="Warning Text 2 2 2 2 2 4" xfId="2459"/>
    <cellStyle name="Warning Text 2 2 2 2 3" xfId="2460"/>
    <cellStyle name="Warning Text 2 2 2 2 4" xfId="2461"/>
    <cellStyle name="Warning Text 2 2 2 3" xfId="2462"/>
    <cellStyle name="Warning Text 2 2 2 4" xfId="2463"/>
    <cellStyle name="Warning Text 2 2 2 5" xfId="2464"/>
    <cellStyle name="Warning Text 2 2 3" xfId="2465"/>
    <cellStyle name="Warning Text 2 2 4" xfId="2466"/>
    <cellStyle name="Warning Text 2 2 5" xfId="2467"/>
    <cellStyle name="Warning Text 2 3" xfId="2468"/>
    <cellStyle name="Warning Text 2 4" xfId="2469"/>
    <cellStyle name="Warning Text 2 5" xfId="2470"/>
    <cellStyle name="Warning Text 2 6" xfId="2471"/>
    <cellStyle name="Warning Text 2 7" xfId="2472"/>
    <cellStyle name="Warning Text 2 8" xfId="2473"/>
    <cellStyle name="Warning Text 2 9" xfId="2474"/>
    <cellStyle name="Warning Text 3" xfId="2475"/>
    <cellStyle name="Warning Text 3 2" xfId="2476"/>
    <cellStyle name="Warning Text 3 3" xfId="2477"/>
    <cellStyle name="Warning Text 4" xfId="2478"/>
    <cellStyle name="Warning Text 4 2" xfId="2479"/>
    <cellStyle name="Warning Text 4 2 2" xfId="2480"/>
    <cellStyle name="Warning Text 4 2 2 2" xfId="2481"/>
    <cellStyle name="Warning Text 4 2 2 2 2" xfId="2482"/>
    <cellStyle name="Warning Text 4 2 2 2 2 2" xfId="2483"/>
    <cellStyle name="Warning Text 4 2 2 3" xfId="2484"/>
    <cellStyle name="Warning Text 4 2 3" xfId="2485"/>
    <cellStyle name="Warning Text 4 3" xfId="2486"/>
    <cellStyle name="Warning Text 4 4" xfId="2487"/>
    <cellStyle name="Warning Text 4 5" xfId="2488"/>
    <cellStyle name="Warning Text 4 6" xfId="2489"/>
    <cellStyle name="Warning Text 5" xfId="2490"/>
    <cellStyle name="Warning Text 5 2" xfId="2491"/>
    <cellStyle name="Warning Text 5 3" xfId="2492"/>
    <cellStyle name="Warning Text 5 4" xfId="2493"/>
    <cellStyle name="Warning Text 5 5" xfId="2494"/>
    <cellStyle name="Warning Text 6" xfId="2495"/>
    <cellStyle name="Warning Text 6 2" xfId="2496"/>
    <cellStyle name="Warning Text 6 3" xfId="2497"/>
    <cellStyle name="Warning Text 7" xfId="2498"/>
    <cellStyle name="Warning Text 7 2" xfId="2499"/>
    <cellStyle name="Warning Text 7 3" xfId="2500"/>
    <cellStyle name="Warning Text 8" xfId="2501"/>
    <cellStyle name="Warning Text 8 2" xfId="2502"/>
    <cellStyle name="Warning Text 9" xfId="2503"/>
    <cellStyle name="Warning Text 9 2" xfId="2504"/>
    <cellStyle name="20% - Accent1 2 2 2 2 2 2 2 2 2 3" xfId="2505"/>
    <cellStyle name="20% - Accent1 2 2 2 2 2 2 2 2 2 2 3" xfId="2506"/>
    <cellStyle name="Calculation 2 2 2 2 2 2 2 2 2 2 8" xfId="2507"/>
    <cellStyle name="Calculation 2 2 2 2 2 2 2 2 2 8" xfId="2508"/>
    <cellStyle name="Calculation 2 2 2 2 2 2 2 2 8" xfId="2509"/>
    <cellStyle name="Calculation 2 2 2 2 2 2 2 9" xfId="2510"/>
    <cellStyle name="Calculation 2 2 2 2 2 2 9" xfId="2511"/>
    <cellStyle name="Calculation 2 2 2 2 2 10" xfId="2512"/>
    <cellStyle name="Calculation 2 2 2 2 10" xfId="2513"/>
    <cellStyle name="Input 2 2 2 2 2 2 2 2 2 2 4" xfId="2514"/>
    <cellStyle name="Input 2 2 2 2 2 2 2 2 2 4" xfId="2515"/>
    <cellStyle name="Input 2 2 2 2 2 2 2 2 4" xfId="2516"/>
    <cellStyle name="Input 2 2 2 2 2 2 2 5" xfId="2517"/>
    <cellStyle name="Input 2 2 2 2 2 2 5" xfId="2518"/>
    <cellStyle name="Input 2 2 2 2 2 6" xfId="2519"/>
    <cellStyle name="Input 2 2 2 2 6" xfId="2520"/>
    <cellStyle name="Input 2 2 2 7" xfId="2521"/>
    <cellStyle name="Input 2 2 7" xfId="2522"/>
    <cellStyle name="Input 2 11" xfId="2523"/>
    <cellStyle name="Calculation 2 2 2 11" xfId="2524"/>
    <cellStyle name="Input 12" xfId="2525"/>
    <cellStyle name="Calculation 2 2 11" xfId="2526"/>
    <cellStyle name="Calculation 2 15" xfId="2527"/>
    <cellStyle name="Calculation 16" xfId="2528"/>
    <cellStyle name="60% - Accent2 17" xfId="2529"/>
    <cellStyle name="Good 2 2 2 2 2 2 2 2 2 2 6" xfId="2530"/>
    <cellStyle name="Good 2 2 2 2 2 2 2 2 2 6" xfId="2531"/>
    <cellStyle name="Good 2 2 2 2 2 2 2 2 6" xfId="2532"/>
    <cellStyle name="Good 2 2 2 2 2 2 2 7" xfId="2533"/>
    <cellStyle name="Good 2 2 2 2 2 2 7" xfId="2534"/>
    <cellStyle name="Good 2 2 2 2 2 8" xfId="2535"/>
    <cellStyle name="Good 2 2 2 2 8" xfId="2536"/>
    <cellStyle name="Good 2 2 2 9" xfId="2537"/>
    <cellStyle name="Good 2 2 9" xfId="2538"/>
    <cellStyle name="Good 2 13" xfId="2539"/>
    <cellStyle name="Good 14" xfId="2540"/>
    <cellStyle name="60% - Accent2 2 16" xfId="2541"/>
    <cellStyle name="60% - Accent2 2 2 12" xfId="2542"/>
    <cellStyle name="60% - Accent2 2 2 2 12" xfId="2543"/>
    <cellStyle name="60% - Accent2 2 2 2 2 11" xfId="2544"/>
    <cellStyle name="60% - Accent2 2 2 2 2 2 11" xfId="2545"/>
    <cellStyle name="60% - Accent2 2 2 2 2 2 2 10" xfId="2546"/>
    <cellStyle name="60% - Accent2 2 2 2 2 2 2 2 10" xfId="2547"/>
    <cellStyle name="60% - Accent2 2 2 2 2 2 2 2 2 9" xfId="2548"/>
    <cellStyle name="60% - Accent2 2 2 2 2 2 2 2 2 2 9" xfId="2549"/>
    <cellStyle name="20% - Accent2 11" xfId="2550"/>
    <cellStyle name="60% - Accent2 2 2 2 2 2 2 2 2 2 2 9" xfId="2551"/>
    <cellStyle name="20% - Accent2 2 10" xfId="2552"/>
    <cellStyle name="20% - Accent2 2 2 6" xfId="2553"/>
    <cellStyle name="20% - Accent2 2 2 2 6" xfId="2554"/>
    <cellStyle name="20% - Accent2 2 2 2 2 5" xfId="2555"/>
    <cellStyle name="20% - Accent2 2 2 2 2 2 5" xfId="2556"/>
    <cellStyle name="20% - Accent2 2 2 2 2 2 2 4" xfId="2557"/>
    <cellStyle name="20% - Accent2 2 2 2 2 2 2 2 4" xfId="2558"/>
    <cellStyle name="20% - Accent2 2 2 2 2 2 2 2 2 3" xfId="2559"/>
    <cellStyle name="20% - Accent2 2 2 2 2 2 2 2 2 2 3" xfId="2560"/>
    <cellStyle name="20% - Accent2 2 2 2 2 2 2 2 2 2 2 3" xfId="2561"/>
    <cellStyle name="40% - Accent2 13" xfId="2562"/>
    <cellStyle name="40% - Accent2 2 12" xfId="2563"/>
    <cellStyle name="40% - Accent2 2 2 8" xfId="2564"/>
    <cellStyle name="40% - Accent2 2 2 2 8" xfId="2565"/>
    <cellStyle name="40% - Accent2 2 2 2 2 7" xfId="2566"/>
    <cellStyle name="40% - Accent2 2 2 2 2 2 7" xfId="2567"/>
    <cellStyle name="40% - Accent2 2 2 2 2 2 2 6" xfId="2568"/>
    <cellStyle name="40% - Accent2 2 2 2 2 2 2 2 6" xfId="2569"/>
    <cellStyle name="40% - Accent2 2 2 2 2 2 2 2 2 5" xfId="2570"/>
    <cellStyle name="40% - Accent2 2 2 2 2 2 2 2 2 2 5" xfId="2571"/>
    <cellStyle name="40% - Accent2 2 2 2 2 2 2 2 2 2 2 5" xfId="2572"/>
    <cellStyle name="Heading 4 2 2 2 2 2 2 2 2 2 2 4" xfId="2573"/>
    <cellStyle name="Heading 4 2 2 2 2 2 2 2 2 2 4" xfId="2574"/>
    <cellStyle name="Heading 4 2 2 2 2 2 2 2 2 4" xfId="2575"/>
    <cellStyle name="Heading 4 2 2 2 2 2 2 2 5" xfId="2576"/>
    <cellStyle name="Heading 4 2 2 2 2 2 2 5" xfId="2577"/>
    <cellStyle name="Heading 4 2 2 2 2 2 6" xfId="2578"/>
    <cellStyle name="Heading 4 2 2 2 2 6" xfId="2579"/>
    <cellStyle name="Heading 4 2 2 2 7" xfId="2580"/>
    <cellStyle name="Heading 4 2 2 7" xfId="2581"/>
    <cellStyle name="Heading 4 2 11" xfId="2582"/>
    <cellStyle name="Heading 4 12" xfId="2583"/>
    <cellStyle name="60% - Accent4 19" xfId="2584"/>
    <cellStyle name="60% - Accent4 2 18" xfId="2585"/>
    <cellStyle name="60% - Accent4 2 2 14" xfId="2586"/>
    <cellStyle name="60% - Accent4 2 2 2 14" xfId="2587"/>
    <cellStyle name="60% - Accent4 2 2 2 2 13" xfId="2588"/>
    <cellStyle name="60% - Accent4 2 2 2 2 2 13" xfId="2589"/>
    <cellStyle name="60% - Accent4 2 2 2 2 2 2 12" xfId="2590"/>
    <cellStyle name="60% - Accent4 2 2 2 2 2 2 2 12" xfId="2591"/>
    <cellStyle name="40% - Accent6 15" xfId="2592"/>
    <cellStyle name="60% - Accent4 2 2 2 2 2 2 2 2 11" xfId="2593"/>
    <cellStyle name="40% - Accent6 2 14" xfId="2594"/>
    <cellStyle name="40% - Accent6 2 2 10" xfId="2595"/>
    <cellStyle name="40% - Accent6 2 2 2 10" xfId="2596"/>
    <cellStyle name="40% - Accent6 2 2 2 2 9" xfId="2597"/>
    <cellStyle name="40% - Accent6 2 2 2 2 2 9" xfId="2598"/>
    <cellStyle name="20% - Accent3 11" xfId="2599"/>
    <cellStyle name="40% - Accent6 2 2 2 2 2 2 8" xfId="2600"/>
    <cellStyle name="20% - Accent3 2 10" xfId="2601"/>
    <cellStyle name="20% - Accent3 2 2 6" xfId="2602"/>
    <cellStyle name="20% - Accent3 2 2 2 6" xfId="2603"/>
    <cellStyle name="20% - Accent3 2 2 2 2 5" xfId="2604"/>
    <cellStyle name="20% - Accent3 2 2 2 2 2 5" xfId="2605"/>
    <cellStyle name="20% - Accent3 2 2 2 2 2 2 4" xfId="2606"/>
    <cellStyle name="20% - Accent3 2 2 2 2 2 2 2 4" xfId="2607"/>
    <cellStyle name="20% - Accent3 2 2 2 2 2 2 2 2 3" xfId="2608"/>
    <cellStyle name="20% - Accent3 2 2 2 2 2 2 2 2 2 3" xfId="2609"/>
    <cellStyle name="20% - Accent3 2 2 2 2 2 2 2 2 2 2 3" xfId="2610"/>
    <cellStyle name="40% - Accent6 2 2 2 2 2 2 2 8" xfId="2611"/>
    <cellStyle name="40% - Accent6 2 2 2 2 2 2 2 2 7" xfId="2612"/>
    <cellStyle name="40% - Accent6 2 2 2 2 2 2 2 2 2 7" xfId="2613"/>
    <cellStyle name="40% - Accent6 2 2 2 2 2 2 2 2 2 2 7" xfId="2614"/>
    <cellStyle name="60% - Accent4 2 2 2 2 2 2 2 2 2 11" xfId="2615"/>
    <cellStyle name="60% - Accent4 2 2 2 2 2 2 2 2 2 2 11" xfId="2616"/>
    <cellStyle name="Explanatory Text 2 2 2 2 2 2 2 2 2 2 6" xfId="2617"/>
    <cellStyle name="Explanatory Text 2 2 2 2 2 2 2 2 2 6" xfId="2618"/>
    <cellStyle name="Explanatory Text 2 2 2 2 2 2 2 2 6" xfId="2619"/>
    <cellStyle name="Explanatory Text 2 2 2 2 2 2 2 7" xfId="2620"/>
    <cellStyle name="Explanatory Text 2 2 2 2 2 2 7" xfId="2621"/>
    <cellStyle name="Explanatory Text 2 2 2 2 2 8" xfId="2622"/>
    <cellStyle name="Explanatory Text 2 2 2 2 8" xfId="2623"/>
    <cellStyle name="Explanatory Text 2 2 2 9" xfId="2624"/>
    <cellStyle name="Explanatory Text 2 2 9" xfId="2625"/>
    <cellStyle name="Explanatory Text 2 13" xfId="2626"/>
    <cellStyle name="Explanatory Text 14" xfId="2627"/>
    <cellStyle name="40% - Accent3 13" xfId="2628"/>
    <cellStyle name="Bad 2 2 2 2 2 2 2 2 2 2 8" xfId="2629"/>
    <cellStyle name="Heading 3 2 2 2 2 2 2 2 2 2 2 4" xfId="2630"/>
    <cellStyle name="Heading 3 2 2 2 2 2 2 2 2 2 4" xfId="2631"/>
    <cellStyle name="Heading 3 2 2 2 2 2 2 2 2 4" xfId="2632"/>
    <cellStyle name="Heading 3 2 2 2 2 2 2 2 5" xfId="2633"/>
    <cellStyle name="Heading 3 2 2 2 2 2 2 5" xfId="2634"/>
    <cellStyle name="Heading 3 2 2 2 2 2 6" xfId="2635"/>
    <cellStyle name="Heading 3 2 2 2 2 6" xfId="2636"/>
    <cellStyle name="Heading 3 2 2 2 7" xfId="2637"/>
    <cellStyle name="Heading 3 2 2 7" xfId="2638"/>
    <cellStyle name="Heading 3 2 11" xfId="2639"/>
    <cellStyle name="40% - Accent3 2 12" xfId="2640"/>
    <cellStyle name="Heading 3 12" xfId="2641"/>
    <cellStyle name="40% - Accent3 2 2 8" xfId="2642"/>
    <cellStyle name="40% - Accent3 2 2 2 8" xfId="2643"/>
    <cellStyle name="40% - Accent3 2 2 2 2 7" xfId="2644"/>
    <cellStyle name="40% - Accent3 2 2 2 2 2 7" xfId="2645"/>
    <cellStyle name="40% - Accent3 2 2 2 2 2 2 6" xfId="2646"/>
    <cellStyle name="40% - Accent3 2 2 2 2 2 2 2 6" xfId="2647"/>
    <cellStyle name="20% - Accent4 11" xfId="2648"/>
    <cellStyle name="40% - Accent3 2 2 2 2 2 2 2 2 5" xfId="2649"/>
    <cellStyle name="20% - Accent4 2 10" xfId="2650"/>
    <cellStyle name="20% - Accent4 2 2 6" xfId="2651"/>
    <cellStyle name="20% - Accent4 2 2 2 6" xfId="2652"/>
    <cellStyle name="20% - Accent4 2 2 2 2 5" xfId="2653"/>
    <cellStyle name="20% - Accent4 2 2 2 2 2 5" xfId="2654"/>
    <cellStyle name="20% - Accent4 2 2 2 2 2 2 4" xfId="2655"/>
    <cellStyle name="20% - Accent4 2 2 2 2 2 2 2 4" xfId="2656"/>
    <cellStyle name="20% - Accent4 2 2 2 2 2 2 2 2 3" xfId="2657"/>
    <cellStyle name="20% - Accent4 2 2 2 2 2 2 2 2 2 3" xfId="2658"/>
    <cellStyle name="20% - Accent4 2 2 2 2 2 2 2 2 2 2 3" xfId="2659"/>
    <cellStyle name="40% - Accent3 2 2 2 2 2 2 2 2 2 5" xfId="2660"/>
    <cellStyle name="40% - Accent3 2 2 2 2 2 2 2 2 2 2 5" xfId="2661"/>
    <cellStyle name="Bad 2 2 2 2 2 2 2 2 2 8" xfId="2662"/>
    <cellStyle name="Bad 2 2 2 2 2 2 2 2 8" xfId="2663"/>
    <cellStyle name="Bad 2 2 2 2 2 2 2 9" xfId="2664"/>
    <cellStyle name="Bad 2 2 2 2 2 2 9" xfId="2665"/>
    <cellStyle name="Bad 2 2 2 2 2 10" xfId="2666"/>
    <cellStyle name="Bad 2 2 2 2 10" xfId="2667"/>
    <cellStyle name="Bad 2 2 2 11" xfId="2668"/>
    <cellStyle name="Bad 2 2 11" xfId="2669"/>
    <cellStyle name="Bad 2 15" xfId="2670"/>
    <cellStyle name="Bad 16" xfId="2671"/>
    <cellStyle name="Accent5 2 2 2 2 2 2 2 2 2 2 10" xfId="2672"/>
    <cellStyle name="Accent5 2 2 2 2 2 2 2 2 2 10" xfId="2673"/>
    <cellStyle name="Accent5 2 2 2 2 2 2 2 2 10" xfId="2674"/>
    <cellStyle name="Accent5 2 2 2 2 2 2 2 11" xfId="2675"/>
    <cellStyle name="Accent5 2 2 2 2 2 2 11" xfId="2676"/>
    <cellStyle name="Accent5 2 2 2 2 2 12" xfId="2677"/>
    <cellStyle name="Accent5 2 2 2 2 12" xfId="2678"/>
    <cellStyle name="Accent5 2 2 2 13" xfId="2679"/>
    <cellStyle name="Accent5 2 2 13" xfId="2680"/>
    <cellStyle name="Accent5 2 17" xfId="2681"/>
    <cellStyle name="Accent5 18" xfId="2682"/>
    <cellStyle name="60% - Accent3 17" xfId="2683"/>
    <cellStyle name="60% - Accent3 2 16" xfId="2684"/>
    <cellStyle name="60% - Accent3 2 2 12" xfId="2685"/>
    <cellStyle name="60% - Accent3 2 2 2 12" xfId="2686"/>
    <cellStyle name="60% - Accent3 2 2 2 2 11" xfId="2687"/>
    <cellStyle name="60% - Accent3 2 2 2 2 2 11" xfId="2688"/>
    <cellStyle name="60% - Accent3 2 2 2 2 2 2 10" xfId="2689"/>
    <cellStyle name="60% - Accent3 2 2 2 2 2 2 2 10" xfId="2690"/>
    <cellStyle name="60% - Accent3 2 2 2 2 2 2 2 2 9" xfId="2691"/>
    <cellStyle name="60% - Accent1 15" xfId="2692"/>
    <cellStyle name="60% - Accent3 2 2 2 2 2 2 2 2 2 9" xfId="2693"/>
    <cellStyle name="60% - Accent1 2 14" xfId="2694"/>
    <cellStyle name="60% - Accent1 2 2 10" xfId="2695"/>
    <cellStyle name="60% - Accent1 2 2 2 10" xfId="2696"/>
    <cellStyle name="60% - Accent1 2 2 2 2 9" xfId="2697"/>
    <cellStyle name="Heading 2 2 2 2 2 2 2 2 2 2 2 4" xfId="2698"/>
    <cellStyle name="Heading 2 2 2 2 2 2 2 2 2 2 4" xfId="2699"/>
    <cellStyle name="Heading 2 2 2 2 2 2 2 2 2 4" xfId="2700"/>
    <cellStyle name="Heading 2 2 2 2 2 2 2 2 5" xfId="2701"/>
    <cellStyle name="Heading 2 2 2 2 2 2 2 5" xfId="2702"/>
    <cellStyle name="Heading 2 2 2 2 2 2 6" xfId="2703"/>
    <cellStyle name="Heading 2 2 2 2 2 6" xfId="2704"/>
    <cellStyle name="20% - Accent5 11" xfId="2705"/>
    <cellStyle name="Heading 2 2 2 2 7" xfId="2706"/>
    <cellStyle name="20% - Accent5 2 10" xfId="2707"/>
    <cellStyle name="20% - Accent5 2 2 6" xfId="2708"/>
    <cellStyle name="20% - Accent5 2 2 2 6" xfId="2709"/>
    <cellStyle name="20% - Accent5 2 2 2 2 5" xfId="2710"/>
    <cellStyle name="20% - Accent5 2 2 2 2 2 5" xfId="2711"/>
    <cellStyle name="20% - Accent5 2 2 2 2 2 2 4" xfId="2712"/>
    <cellStyle name="20% - Accent5 2 2 2 2 2 2 2 4" xfId="2713"/>
    <cellStyle name="20% - Accent5 2 2 2 2 2 2 2 2 3" xfId="2714"/>
    <cellStyle name="20% - Accent5 2 2 2 2 2 2 2 2 2 3" xfId="2715"/>
    <cellStyle name="20% - Accent5 2 2 2 2 2 2 2 2 2 2 3" xfId="2716"/>
    <cellStyle name="Heading 2 2 2 7" xfId="2717"/>
    <cellStyle name="Heading 2 2 11" xfId="2718"/>
    <cellStyle name="60% - Accent1 2 2 2 2 2 9" xfId="2719"/>
    <cellStyle name="Heading 2 12" xfId="2720"/>
    <cellStyle name="60% - Accent1 2 2 2 2 2 2 8" xfId="2721"/>
    <cellStyle name="Check Cell 2 2 2 2 2 2 2 2 2 2 6" xfId="2722"/>
    <cellStyle name="Check Cell 2 2 2 2 2 2 2 2 2 6" xfId="2723"/>
    <cellStyle name="Check Cell 2 2 2 2 2 2 2 2 6" xfId="2724"/>
    <cellStyle name="Check Cell 2 2 2 2 2 2 2 7" xfId="2725"/>
    <cellStyle name="Check Cell 2 2 2 2 2 2 7" xfId="2726"/>
    <cellStyle name="Check Cell 2 2 2 2 2 8" xfId="2727"/>
    <cellStyle name="Check Cell 2 2 2 2 8" xfId="2728"/>
    <cellStyle name="40% - Accent4 13" xfId="2729"/>
    <cellStyle name="Check Cell 2 2 2 9" xfId="2730"/>
    <cellStyle name="40% - Accent4 2 12" xfId="2731"/>
    <cellStyle name="40% - Accent4 2 2 8" xfId="2732"/>
    <cellStyle name="40% - Accent4 2 2 2 8" xfId="2733"/>
    <cellStyle name="40% - Accent4 2 2 2 2 7" xfId="2734"/>
    <cellStyle name="40% - Accent4 2 2 2 2 2 7" xfId="2735"/>
    <cellStyle name="40% - Accent4 2 2 2 2 2 2 6" xfId="2736"/>
    <cellStyle name="40% - Accent4 2 2 2 2 2 2 2 6" xfId="2737"/>
    <cellStyle name="40% - Accent4 2 2 2 2 2 2 2 2 5" xfId="2738"/>
    <cellStyle name="40% - Accent4 2 2 2 2 2 2 2 2 2 5" xfId="2739"/>
    <cellStyle name="40% - Accent4 2 2 2 2 2 2 2 2 2 2 5" xfId="2740"/>
    <cellStyle name="Check Cell 2 2 9" xfId="2741"/>
    <cellStyle name="Check Cell 2 13" xfId="2742"/>
    <cellStyle name="60% - Accent1 2 2 2 2 2 2 2 8" xfId="2743"/>
    <cellStyle name="Check Cell 14" xfId="2744"/>
    <cellStyle name="60% - Accent1 2 2 2 2 2 2 2 2 7" xfId="2745"/>
    <cellStyle name="60% - Accent1 2 2 2 2 2 2 2 2 2 7" xfId="2746"/>
    <cellStyle name="60% - Accent1 2 2 2 2 2 2 2 2 2 2 7" xfId="2747"/>
    <cellStyle name="60% - Accent3 2 2 2 2 2 2 2 2 2 2 9" xfId="2748"/>
    <cellStyle name="20% - Accent6 11" xfId="2749"/>
    <cellStyle name="20% - Accent6 2 10" xfId="2750"/>
    <cellStyle name="20% - Accent6 2 2 6" xfId="2751"/>
    <cellStyle name="20% - Accent6 2 2 2 6" xfId="2752"/>
    <cellStyle name="20% - Accent6 2 2 2 2 5" xfId="2753"/>
    <cellStyle name="20% - Accent6 2 2 2 2 2 5" xfId="2754"/>
    <cellStyle name="20% - Accent6 2 2 2 2 2 2 4" xfId="2755"/>
    <cellStyle name="20% - Accent6 2 2 2 2 2 2 2 4" xfId="2756"/>
    <cellStyle name="20% - Accent6 2 2 2 2 2 2 2 2 3" xfId="2757"/>
    <cellStyle name="20% - Accent6 2 2 2 2 2 2 2 2 2 3" xfId="2758"/>
    <cellStyle name="20% - Accent6 2 2 2 2 2 2 2 2 2 2 3" xfId="2759"/>
    <cellStyle name="Heading 1 2 2 2 2 2 2 2 2 2 2 4" xfId="2760"/>
    <cellStyle name="Heading 1 2 2 2 2 2 2 2 2 2 4" xfId="2761"/>
    <cellStyle name="Heading 1 2 2 2 2 2 2 2 2 4" xfId="2762"/>
    <cellStyle name="Heading 1 2 2 2 2 2 2 2 5" xfId="2763"/>
    <cellStyle name="Heading 1 2 2 2 2 2 2 5" xfId="2764"/>
    <cellStyle name="Heading 1 2 2 2 2 2 6" xfId="2765"/>
    <cellStyle name="Heading 1 2 2 2 2 6" xfId="2766"/>
    <cellStyle name="Heading 1 2 2 2 7" xfId="2767"/>
    <cellStyle name="Heading 1 2 2 7" xfId="2768"/>
    <cellStyle name="Heading 1 2 11" xfId="2769"/>
    <cellStyle name="Heading 1 12" xfId="2770"/>
    <cellStyle name="Accent6 2 2 2 2 2 2 2 2 2 2 8" xfId="2771"/>
    <cellStyle name="Accent6 2 2 2 2 2 2 2 2 2 8" xfId="2772"/>
    <cellStyle name="Accent6 2 2 2 2 2 2 2 2 8" xfId="2773"/>
    <cellStyle name="Accent6 2 2 2 2 2 2 2 9" xfId="2774"/>
    <cellStyle name="Accent6 2 2 2 2 2 2 9" xfId="2775"/>
    <cellStyle name="Accent6 2 2 2 2 2 10" xfId="2776"/>
    <cellStyle name="Accent6 2 2 2 2 10" xfId="2777"/>
    <cellStyle name="Accent6 2 2 2 11" xfId="2778"/>
    <cellStyle name="Accent6 2 2 11" xfId="2779"/>
    <cellStyle name="Accent6 2 15" xfId="2780"/>
    <cellStyle name="Accent6 16" xfId="2781"/>
    <cellStyle name="40% - Accent5 13" xfId="2782"/>
    <cellStyle name="40% - Accent5 2 12" xfId="2783"/>
    <cellStyle name="40% - Accent5 2 2 8" xfId="2784"/>
    <cellStyle name="40% - Accent5 2 2 2 8" xfId="2785"/>
    <cellStyle name="40% - Accent5 2 2 2 2 7" xfId="2786"/>
    <cellStyle name="40% - Accent5 2 2 2 2 2 7" xfId="2787"/>
    <cellStyle name="40% - Accent5 2 2 2 2 2 2 6" xfId="2788"/>
    <cellStyle name="40% - Accent5 2 2 2 2 2 2 2 6" xfId="2789"/>
    <cellStyle name="40% - Accent5 2 2 2 2 2 2 2 2 5" xfId="2790"/>
    <cellStyle name="40% - Accent5 2 2 2 2 2 2 2 2 2 5" xfId="2791"/>
    <cellStyle name="40% - Accent5 2 2 2 2 2 2 2 2 2 2 5" xfId="2792"/>
    <cellStyle name="60% - Accent5 19" xfId="2793"/>
    <cellStyle name="40% - Accent1 11" xfId="2794"/>
    <cellStyle name="Calculation 2 2 2 2 2 2 2 2 2 2 6" xfId="2795"/>
    <cellStyle name="40% - Accent1 2 10" xfId="2796"/>
    <cellStyle name="40% - Accent1 2 2 6" xfId="2797"/>
    <cellStyle name="40% - Accent1 2 2 2 6" xfId="2798"/>
    <cellStyle name="40% - Accent1 2 2 2 2 5" xfId="2799"/>
    <cellStyle name="40% - Accent1 2 2 2 2 2 5" xfId="2800"/>
    <cellStyle name="40% - Accent1 2 2 2 2 2 2 4" xfId="2801"/>
    <cellStyle name="40% - Accent1 2 2 2 2 2 2 2 4" xfId="2802"/>
    <cellStyle name="40% - Accent1 2 2 2 2 2 2 2 2 3" xfId="2803"/>
    <cellStyle name="40% - Accent1 2 2 2 2 2 2 2 2 2 3" xfId="2804"/>
    <cellStyle name="40% - Accent1 2 2 2 2 2 2 2 2 2 2 3" xfId="2805"/>
    <cellStyle name="Calculation 2 2 2 2 2 2 2 2 2 6" xfId="2806"/>
    <cellStyle name="Calculation 2 2 2 2 2 2 2 2 6" xfId="2807"/>
    <cellStyle name="Calculation 2 2 2 2 2 2 2 7" xfId="2808"/>
    <cellStyle name="Calculation 2 2 2 2 2 2 7" xfId="2809"/>
    <cellStyle name="Calculation 2 2 2 2 2 8" xfId="2810"/>
    <cellStyle name="Calculation 2 2 2 2 8" xfId="2811"/>
    <cellStyle name="Calculation 2 2 2 9" xfId="2812"/>
    <cellStyle name="Calculation 2 2 9" xfId="2813"/>
    <cellStyle name="Calculation 2 13" xfId="2814"/>
    <cellStyle name="Calculation 14" xfId="2815"/>
    <cellStyle name="60% - Accent5 2 18" xfId="2816"/>
    <cellStyle name="60% - Accent5 2 2 14" xfId="2817"/>
    <cellStyle name="60% - Accent2 15" xfId="2818"/>
    <cellStyle name="Good 2 2 2 2 2 2 2 2 2 2 4" xfId="2819"/>
    <cellStyle name="Good 2 2 2 2 2 2 2 2 2 4" xfId="2820"/>
    <cellStyle name="Good 2 2 2 2 2 2 2 2 4" xfId="2821"/>
    <cellStyle name="Good 2 2 2 2 2 2 2 5" xfId="2822"/>
    <cellStyle name="Good 2 2 2 2 2 2 5" xfId="2823"/>
    <cellStyle name="Good 2 2 2 2 2 6" xfId="2824"/>
    <cellStyle name="Good 2 2 2 2 6" xfId="2825"/>
    <cellStyle name="Good 2 2 2 7" xfId="2826"/>
    <cellStyle name="Good 2 2 7" xfId="2827"/>
    <cellStyle name="Good 2 11" xfId="2828"/>
    <cellStyle name="60% - Accent5 2 2 2 14" xfId="2829"/>
    <cellStyle name="Good 12" xfId="2830"/>
    <cellStyle name="60% - Accent2 2 14" xfId="2831"/>
    <cellStyle name="60% - Accent2 2 2 10" xfId="2832"/>
    <cellStyle name="60% - Accent2 2 2 2 10" xfId="2833"/>
    <cellStyle name="60% - Accent2 2 2 2 2 9" xfId="2834"/>
    <cellStyle name="60% - Accent2 2 2 2 2 2 9" xfId="2835"/>
    <cellStyle name="60% - Accent2 2 2 2 2 2 2 8" xfId="2836"/>
    <cellStyle name="60% - Accent2 2 2 2 2 2 2 2 8" xfId="2837"/>
    <cellStyle name="60% - Accent2 2 2 2 2 2 2 2 2 7" xfId="2838"/>
    <cellStyle name="60% - Accent2 2 2 2 2 2 2 2 2 2 7" xfId="2839"/>
    <cellStyle name="60% - Accent2 2 2 2 2 2 2 2 2 2 2 7" xfId="2840"/>
    <cellStyle name="60% - Accent5 2 2 2 2 13" xfId="2841"/>
    <cellStyle name="60% - Accent5 2 2 2 2 2 13" xfId="2842"/>
    <cellStyle name="60% - Accent5 2 2 2 2 2 2 12" xfId="2843"/>
    <cellStyle name="60% - Accent5 2 2 2 2 2 2 2 12" xfId="2844"/>
    <cellStyle name="60% - Accent5 2 2 2 2 2 2 2 2 11" xfId="2845"/>
    <cellStyle name="60% - Accent5 2 2 2 2 2 2 2 2 2 11" xfId="2846"/>
    <cellStyle name="60% - Accent5 2 2 2 2 2 2 2 2 2 2 11" xfId="2847"/>
    <cellStyle name="Accent4 2 2 2 2 2 2 2 2 2 2 10" xfId="2848"/>
    <cellStyle name="Accent4 2 2 2 2 2 2 2 2 2 10" xfId="2849"/>
    <cellStyle name="60% - Accent4 17" xfId="2850"/>
    <cellStyle name="Accent4 2 2 2 2 2 2 2 2 10" xfId="2851"/>
    <cellStyle name="40% - Accent2 11" xfId="2852"/>
    <cellStyle name="60% - Accent4 2 16" xfId="2853"/>
    <cellStyle name="40% - Accent2 2 10" xfId="2854"/>
    <cellStyle name="40% - Accent2 2 2 6" xfId="2855"/>
    <cellStyle name="40% - Accent2 2 2 2 6" xfId="2856"/>
    <cellStyle name="40% - Accent2 2 2 2 2 5" xfId="2857"/>
    <cellStyle name="40% - Accent2 2 2 2 2 2 5" xfId="2858"/>
    <cellStyle name="40% - Accent2 2 2 2 2 2 2 4" xfId="2859"/>
    <cellStyle name="40% - Accent2 2 2 2 2 2 2 2 4" xfId="2860"/>
    <cellStyle name="40% - Accent2 2 2 2 2 2 2 2 2 3" xfId="2861"/>
    <cellStyle name="40% - Accent2 2 2 2 2 2 2 2 2 2 3" xfId="2862"/>
    <cellStyle name="40% - Accent2 2 2 2 2 2 2 2 2 2 2 3" xfId="2863"/>
    <cellStyle name="60% - Accent4 2 2 12" xfId="2864"/>
    <cellStyle name="60% - Accent4 2 2 2 12" xfId="2865"/>
    <cellStyle name="60% - Accent4 2 2 2 2 11" xfId="2866"/>
    <cellStyle name="60% - Accent4 2 2 2 2 2 11" xfId="2867"/>
    <cellStyle name="60% - Accent4 2 2 2 2 2 2 10" xfId="2868"/>
    <cellStyle name="60% - Accent4 2 2 2 2 2 2 2 10" xfId="2869"/>
    <cellStyle name="40% - Accent6 13" xfId="2870"/>
    <cellStyle name="60% - Accent4 2 2 2 2 2 2 2 2 9" xfId="2871"/>
    <cellStyle name="40% - Accent6 2 12" xfId="2872"/>
    <cellStyle name="40% - Accent6 2 2 8" xfId="2873"/>
    <cellStyle name="40% - Accent6 2 2 2 8" xfId="2874"/>
    <cellStyle name="40% - Accent6 2 2 2 2 7" xfId="2875"/>
    <cellStyle name="40% - Accent6 2 2 2 2 2 7" xfId="2876"/>
    <cellStyle name="40% - Accent6 2 2 2 2 2 2 6" xfId="2877"/>
    <cellStyle name="40% - Accent6 2 2 2 2 2 2 2 6" xfId="2878"/>
    <cellStyle name="40% - Accent6 2 2 2 2 2 2 2 2 5" xfId="2879"/>
    <cellStyle name="40% - Accent6 2 2 2 2 2 2 2 2 2 5" xfId="2880"/>
    <cellStyle name="40% - Accent6 2 2 2 2 2 2 2 2 2 2 5" xfId="2881"/>
    <cellStyle name="60% - Accent4 2 2 2 2 2 2 2 2 2 9" xfId="2882"/>
    <cellStyle name="60% - Accent4 2 2 2 2 2 2 2 2 2 2 9" xfId="2883"/>
    <cellStyle name="Accent4 2 2 2 2 2 2 2 11" xfId="2884"/>
    <cellStyle name="Accent4 2 2 2 2 2 2 11" xfId="2885"/>
    <cellStyle name="Accent4 2 2 2 2 2 12" xfId="2886"/>
    <cellStyle name="Accent4 2 2 2 2 12" xfId="2887"/>
    <cellStyle name="Accent4 2 2 2 13" xfId="2888"/>
    <cellStyle name="Explanatory Text 2 2 2 2 2 2 2 2 2 2 4" xfId="2889"/>
    <cellStyle name="Explanatory Text 2 2 2 2 2 2 2 2 2 4" xfId="2890"/>
    <cellStyle name="Explanatory Text 2 2 2 2 2 2 2 2 4" xfId="2891"/>
    <cellStyle name="Explanatory Text 2 2 2 2 2 2 2 5" xfId="2892"/>
    <cellStyle name="Explanatory Text 2 2 2 2 2 2 5" xfId="2893"/>
    <cellStyle name="Explanatory Text 2 2 2 2 2 6" xfId="2894"/>
    <cellStyle name="Explanatory Text 2 2 2 2 6" xfId="2895"/>
    <cellStyle name="Explanatory Text 2 2 2 7" xfId="2896"/>
    <cellStyle name="Explanatory Text 2 2 7" xfId="2897"/>
    <cellStyle name="Explanatory Text 2 11" xfId="2898"/>
    <cellStyle name="Accent4 2 2 13" xfId="2899"/>
    <cellStyle name="Explanatory Text 12" xfId="2900"/>
    <cellStyle name="Accent4 2 17" xfId="2901"/>
    <cellStyle name="Accent4 18" xfId="2902"/>
    <cellStyle name="Bad 2 2 2 2 2 2 2 2 2 2 6" xfId="2903"/>
    <cellStyle name="Bad 2 2 2 2 2 2 2 2 2 6" xfId="2904"/>
    <cellStyle name="Bad 2 2 2 2 2 2 2 2 6" xfId="2905"/>
    <cellStyle name="Bad 2 2 2 2 2 2 2 7" xfId="2906"/>
    <cellStyle name="Bad 2 2 2 2 2 2 7" xfId="2907"/>
    <cellStyle name="Bad 2 2 2 2 2 8" xfId="2908"/>
    <cellStyle name="40% - Accent3 11" xfId="2909"/>
    <cellStyle name="Bad 2 2 2 2 8" xfId="2910"/>
    <cellStyle name="40% - Accent3 2 10" xfId="2911"/>
    <cellStyle name="40% - Accent3 2 2 6" xfId="2912"/>
    <cellStyle name="40% - Accent3 2 2 2 6" xfId="2913"/>
    <cellStyle name="40% - Accent3 2 2 2 2 5" xfId="2914"/>
    <cellStyle name="40% - Accent3 2 2 2 2 2 5" xfId="2915"/>
    <cellStyle name="40% - Accent3 2 2 2 2 2 2 4" xfId="2916"/>
    <cellStyle name="40% - Accent3 2 2 2 2 2 2 2 4" xfId="2917"/>
    <cellStyle name="40% - Accent3 2 2 2 2 2 2 2 2 3" xfId="2918"/>
    <cellStyle name="40% - Accent3 2 2 2 2 2 2 2 2 2 3" xfId="2919"/>
    <cellStyle name="40% - Accent3 2 2 2 2 2 2 2 2 2 2 3" xfId="2920"/>
    <cellStyle name="Bad 2 2 2 9" xfId="2921"/>
    <cellStyle name="Bad 2 2 9" xfId="2922"/>
    <cellStyle name="Bad 2 13" xfId="2923"/>
    <cellStyle name="Bad 14" xfId="2924"/>
    <cellStyle name="Accent5 2 2 2 2 2 2 2 2 2 2 8" xfId="2925"/>
    <cellStyle name="Accent5 2 2 2 2 2 2 2 2 2 8" xfId="2926"/>
    <cellStyle name="Accent5 2 2 2 2 2 2 2 2 8" xfId="2927"/>
    <cellStyle name="Accent5 2 2 2 2 2 2 2 9" xfId="2928"/>
    <cellStyle name="Accent5 2 2 2 2 2 2 9" xfId="2929"/>
    <cellStyle name="Accent5 2 2 2 2 2 10" xfId="2930"/>
    <cellStyle name="Accent5 2 2 2 2 10" xfId="2931"/>
    <cellStyle name="Accent5 2 2 2 11" xfId="2932"/>
    <cellStyle name="Accent5 2 2 11" xfId="2933"/>
    <cellStyle name="Accent5 2 15" xfId="2934"/>
    <cellStyle name="Accent5 16" xfId="2935"/>
    <cellStyle name="60% - Accent3 15" xfId="2936"/>
    <cellStyle name="60% - Accent3 2 14" xfId="2937"/>
    <cellStyle name="60% - Accent3 2 2 10" xfId="2938"/>
    <cellStyle name="60% - Accent3 2 2 2 10" xfId="2939"/>
    <cellStyle name="60% - Accent3 2 2 2 2 9" xfId="2940"/>
    <cellStyle name="60% - Accent3 2 2 2 2 2 9" xfId="2941"/>
    <cellStyle name="60% - Accent3 2 2 2 2 2 2 8" xfId="2942"/>
    <cellStyle name="60% - Accent3 2 2 2 2 2 2 2 8" xfId="2943"/>
    <cellStyle name="60% - Accent3 2 2 2 2 2 2 2 2 7" xfId="2944"/>
    <cellStyle name="60% - Accent1 13" xfId="2945"/>
    <cellStyle name="60% - Accent3 2 2 2 2 2 2 2 2 2 7" xfId="2946"/>
    <cellStyle name="60% - Accent1 2 12" xfId="2947"/>
    <cellStyle name="60% - Accent1 2 2 8" xfId="2948"/>
    <cellStyle name="60% - Accent1 2 2 2 8" xfId="2949"/>
    <cellStyle name="60% - Accent1 2 2 2 2 7" xfId="2950"/>
    <cellStyle name="60% - Accent1 2 2 2 2 2 7" xfId="2951"/>
    <cellStyle name="60% - Accent1 2 2 2 2 2 2 6" xfId="2952"/>
    <cellStyle name="Check Cell 2 2 2 2 2 2 2 2 2 2 4" xfId="2953"/>
    <cellStyle name="Check Cell 2 2 2 2 2 2 2 2 2 4" xfId="2954"/>
    <cellStyle name="Check Cell 2 2 2 2 2 2 2 2 4" xfId="2955"/>
    <cellStyle name="Check Cell 2 2 2 2 2 2 2 5" xfId="2956"/>
    <cellStyle name="Check Cell 2 2 2 2 2 2 5" xfId="2957"/>
    <cellStyle name="Check Cell 2 2 2 2 2 6" xfId="2958"/>
    <cellStyle name="Check Cell 2 2 2 2 6" xfId="2959"/>
    <cellStyle name="Check Cell 2 2 2 7" xfId="2960"/>
    <cellStyle name="Check Cell 2 2 7" xfId="2961"/>
    <cellStyle name="Check Cell 2 11" xfId="2962"/>
    <cellStyle name="60% - Accent1 2 2 2 2 2 2 2 6" xfId="2963"/>
    <cellStyle name="Check Cell 12" xfId="2964"/>
    <cellStyle name="60% - Accent1 2 2 2 2 2 2 2 2 5" xfId="2965"/>
    <cellStyle name="40% - Accent4 11" xfId="2966"/>
    <cellStyle name="60% - Accent1 2 2 2 2 2 2 2 2 2 5" xfId="2967"/>
    <cellStyle name="40% - Accent4 2 10" xfId="2968"/>
    <cellStyle name="40% - Accent4 2 2 6" xfId="2969"/>
    <cellStyle name="40% - Accent4 2 2 2 6" xfId="2970"/>
    <cellStyle name="40% - Accent4 2 2 2 2 5" xfId="2971"/>
    <cellStyle name="40% - Accent4 2 2 2 2 2 5" xfId="2972"/>
    <cellStyle name="40% - Accent4 2 2 2 2 2 2 4" xfId="2973"/>
    <cellStyle name="40% - Accent4 2 2 2 2 2 2 2 4" xfId="2974"/>
    <cellStyle name="40% - Accent4 2 2 2 2 2 2 2 2 3" xfId="2975"/>
    <cellStyle name="40% - Accent4 2 2 2 2 2 2 2 2 2 3" xfId="2976"/>
    <cellStyle name="40% - Accent4 2 2 2 2 2 2 2 2 2 2 3" xfId="2977"/>
    <cellStyle name="60% - Accent1 2 2 2 2 2 2 2 2 2 2 5" xfId="2978"/>
    <cellStyle name="60% - Accent3 2 2 2 2 2 2 2 2 2 2 7" xfId="2979"/>
    <cellStyle name="Accent6 2 2 2 2 2 2 2 2 2 2 6" xfId="2980"/>
    <cellStyle name="Accent6 2 2 2 2 2 2 2 2 2 6" xfId="2981"/>
    <cellStyle name="Accent6 2 2 2 2 2 2 2 2 6" xfId="2982"/>
    <cellStyle name="Accent6 2 2 2 2 2 2 2 7" xfId="2983"/>
    <cellStyle name="Accent6 2 2 2 2 2 2 7" xfId="2984"/>
    <cellStyle name="Accent6 2 2 2 2 2 8" xfId="2985"/>
    <cellStyle name="Accent6 2 2 2 2 8" xfId="2986"/>
    <cellStyle name="Accent6 2 2 2 9" xfId="2987"/>
    <cellStyle name="Accent6 2 2 9" xfId="2988"/>
    <cellStyle name="Accent6 2 13" xfId="2989"/>
    <cellStyle name="Accent6 14" xfId="2990"/>
    <cellStyle name="60% - Accent5 17" xfId="2991"/>
    <cellStyle name="Calculation 2 2 2 2 2 2 2 2 2 2 4" xfId="2992"/>
    <cellStyle name="Calculation 2 2 2 2 2 2 2 2 2 4" xfId="2993"/>
    <cellStyle name="40% - Accent5 11" xfId="2994"/>
    <cellStyle name="Calculation 2 2 2 2 2 2 2 2 4" xfId="2995"/>
    <cellStyle name="40% - Accent5 2 10" xfId="2996"/>
    <cellStyle name="40% - Accent5 2 2 6" xfId="2997"/>
    <cellStyle name="40% - Accent5 2 2 2 6" xfId="2998"/>
    <cellStyle name="40% - Accent5 2 2 2 2 5" xfId="2999"/>
    <cellStyle name="40% - Accent5 2 2 2 2 2 5" xfId="3000"/>
    <cellStyle name="40% - Accent5 2 2 2 2 2 2 4" xfId="3001"/>
    <cellStyle name="40% - Accent5 2 2 2 2 2 2 2 4" xfId="3002"/>
    <cellStyle name="40% - Accent5 2 2 2 2 2 2 2 2 3" xfId="3003"/>
    <cellStyle name="40% - Accent5 2 2 2 2 2 2 2 2 2 3" xfId="3004"/>
    <cellStyle name="40% - Accent5 2 2 2 2 2 2 2 2 2 2 3" xfId="3005"/>
    <cellStyle name="Calculation 2 2 2 2 2 2 2 5" xfId="3006"/>
    <cellStyle name="Calculation 2 2 2 2 2 2 5" xfId="3007"/>
    <cellStyle name="Calculation 2 2 2 2 2 6" xfId="3008"/>
    <cellStyle name="Calculation 2 2 2 2 6" xfId="3009"/>
    <cellStyle name="Calculation 2 2 2 7" xfId="3010"/>
    <cellStyle name="Calculation 2 2 7" xfId="3011"/>
    <cellStyle name="Calculation 2 11" xfId="3012"/>
    <cellStyle name="Calculation 12" xfId="3013"/>
    <cellStyle name="60% - Accent5 2 16" xfId="3014"/>
    <cellStyle name="60% - Accent5 2 2 12" xfId="3015"/>
    <cellStyle name="60% - Accent2 13" xfId="3016"/>
    <cellStyle name="60% - Accent5 2 2 2 12" xfId="3017"/>
    <cellStyle name="60% - Accent2 2 12" xfId="3018"/>
    <cellStyle name="60% - Accent2 2 2 8" xfId="3019"/>
    <cellStyle name="60% - Accent2 2 2 2 8" xfId="3020"/>
    <cellStyle name="60% - Accent2 2 2 2 2 7" xfId="3021"/>
    <cellStyle name="60% - Accent2 2 2 2 2 2 7" xfId="3022"/>
    <cellStyle name="60% - Accent2 2 2 2 2 2 2 6" xfId="3023"/>
    <cellStyle name="60% - Accent2 2 2 2 2 2 2 2 6" xfId="3024"/>
    <cellStyle name="60% - Accent2 2 2 2 2 2 2 2 2 5" xfId="3025"/>
    <cellStyle name="60% - Accent2 2 2 2 2 2 2 2 2 2 5" xfId="3026"/>
    <cellStyle name="60% - Accent2 2 2 2 2 2 2 2 2 2 2 5" xfId="3027"/>
    <cellStyle name="60% - Accent5 2 2 2 2 11" xfId="3028"/>
    <cellStyle name="60% - Accent5 2 2 2 2 2 11" xfId="3029"/>
    <cellStyle name="60% - Accent5 2 2 2 2 2 2 10" xfId="3030"/>
    <cellStyle name="60% - Accent5 2 2 2 2 2 2 2 10" xfId="3031"/>
    <cellStyle name="60% - Accent5 2 2 2 2 2 2 2 2 9" xfId="3032"/>
    <cellStyle name="60% - Accent5 2 2 2 2 2 2 2 2 2 9" xfId="3033"/>
    <cellStyle name="60% - Accent5 2 2 2 2 2 2 2 2 2 2 9" xfId="3034"/>
    <cellStyle name="Accent4 2 2 2 2 2 2 2 2 2 2 8" xfId="3035"/>
    <cellStyle name="Accent4 2 2 2 2 2 2 2 2 2 8" xfId="3036"/>
    <cellStyle name="60% - Accent4 15" xfId="3037"/>
    <cellStyle name="Accent4 2 2 2 2 2 2 2 2 8" xfId="3038"/>
    <cellStyle name="60% - Accent4 2 14" xfId="3039"/>
    <cellStyle name="60% - Accent4 2 2 10" xfId="3040"/>
    <cellStyle name="60% - Accent4 2 2 2 10" xfId="3041"/>
    <cellStyle name="60% - Accent4 2 2 2 2 9" xfId="3042"/>
    <cellStyle name="60% - Accent4 2 2 2 2 2 9" xfId="3043"/>
    <cellStyle name="60% - Accent4 2 2 2 2 2 2 8" xfId="3044"/>
    <cellStyle name="60% - Accent4 2 2 2 2 2 2 2 8" xfId="3045"/>
    <cellStyle name="60% - Accent4 2 2 2 2 2 2 2 2 7" xfId="3046"/>
    <cellStyle name="60% - Accent4 2 2 2 2 2 2 2 2 2 7" xfId="3047"/>
    <cellStyle name="60% - Accent4 2 2 2 2 2 2 2 2 2 2 7" xfId="3048"/>
    <cellStyle name="Accent4 2 2 2 2 2 2 2 9" xfId="3049"/>
    <cellStyle name="Accent4 2 2 2 2 2 2 9" xfId="3050"/>
    <cellStyle name="Accent4 2 2 2 2 2 10" xfId="3051"/>
    <cellStyle name="40% - Accent6 11" xfId="3052"/>
    <cellStyle name="Accent4 2 2 2 2 10" xfId="3053"/>
    <cellStyle name="40% - Accent6 2 10" xfId="3054"/>
    <cellStyle name="40% - Accent6 2 2 6" xfId="3055"/>
    <cellStyle name="40% - Accent6 2 2 2 6" xfId="3056"/>
    <cellStyle name="40% - Accent6 2 2 2 2 5" xfId="3057"/>
    <cellStyle name="40% - Accent6 2 2 2 2 2 5" xfId="3058"/>
    <cellStyle name="40% - Accent6 2 2 2 2 2 2 4" xfId="3059"/>
    <cellStyle name="40% - Accent6 2 2 2 2 2 2 2 4" xfId="3060"/>
    <cellStyle name="40% - Accent6 2 2 2 2 2 2 2 2 3" xfId="3061"/>
    <cellStyle name="40% - Accent6 2 2 2 2 2 2 2 2 2 3" xfId="3062"/>
    <cellStyle name="40% - Accent6 2 2 2 2 2 2 2 2 2 2 3" xfId="3063"/>
    <cellStyle name="Accent4 2 2 2 11" xfId="3064"/>
    <cellStyle name="Accent4 2 2 11" xfId="3065"/>
    <cellStyle name="Accent4 2 15" xfId="3066"/>
    <cellStyle name="Accent4 16" xfId="3067"/>
    <cellStyle name="60% - Accent6 19" xfId="3068"/>
    <cellStyle name="Bad 2 2 2 2 2 2 2 2 2 2 4" xfId="3069"/>
    <cellStyle name="Bad 2 2 2 2 2 2 2 2 2 4" xfId="3070"/>
    <cellStyle name="Bad 2 2 2 2 2 2 2 2 4" xfId="3071"/>
    <cellStyle name="Bad 2 2 2 2 2 2 2 5" xfId="3072"/>
    <cellStyle name="Bad 2 2 2 2 2 2 5" xfId="3073"/>
    <cellStyle name="Bad 2 2 2 2 2 6" xfId="3074"/>
    <cellStyle name="Bad 2 2 2 2 6" xfId="3075"/>
    <cellStyle name="Bad 2 2 2 7" xfId="3076"/>
    <cellStyle name="Bad 2 2 7" xfId="3077"/>
    <cellStyle name="Bad 2 11" xfId="3078"/>
    <cellStyle name="Bad 12" xfId="3079"/>
    <cellStyle name="Accent5 2 2 2 2 2 2 2 2 2 2 6" xfId="3080"/>
    <cellStyle name="Accent5 2 2 2 2 2 2 2 2 2 6" xfId="3081"/>
    <cellStyle name="Accent5 2 2 2 2 2 2 2 2 6" xfId="3082"/>
    <cellStyle name="Accent5 2 2 2 2 2 2 2 7" xfId="3083"/>
    <cellStyle name="Accent5 2 2 2 2 2 2 7" xfId="3084"/>
    <cellStyle name="Accent5 2 2 2 2 2 8" xfId="3085"/>
    <cellStyle name="Accent5 2 2 2 2 8" xfId="3086"/>
    <cellStyle name="Accent5 2 2 2 9" xfId="3087"/>
    <cellStyle name="Accent5 2 2 9" xfId="3088"/>
    <cellStyle name="Accent5 2 13" xfId="3089"/>
    <cellStyle name="60% - Accent6 2 18" xfId="3090"/>
    <cellStyle name="Accent5 14" xfId="3091"/>
    <cellStyle name="Accent3 2 2 2 2 2 2 2 2 2 2 10" xfId="3092"/>
    <cellStyle name="60% - Accent3 13" xfId="3093"/>
    <cellStyle name="Accent3 2 2 2 2 2 2 2 2 2 10" xfId="3094"/>
    <cellStyle name="60% - Accent3 2 12" xfId="3095"/>
    <cellStyle name="60% - Accent3 2 2 8" xfId="3096"/>
    <cellStyle name="60% - Accent3 2 2 2 8" xfId="3097"/>
    <cellStyle name="60% - Accent3 2 2 2 2 7" xfId="3098"/>
    <cellStyle name="60% - Accent3 2 2 2 2 2 7" xfId="3099"/>
    <cellStyle name="60% - Accent3 2 2 2 2 2 2 6" xfId="3100"/>
    <cellStyle name="60% - Accent3 2 2 2 2 2 2 2 6" xfId="3101"/>
    <cellStyle name="60% - Accent3 2 2 2 2 2 2 2 2 5" xfId="3102"/>
    <cellStyle name="60% - Accent3 2 2 2 2 2 2 2 2 2 5" xfId="3103"/>
    <cellStyle name="60% - Accent3 2 2 2 2 2 2 2 2 2 2 5" xfId="3104"/>
    <cellStyle name="Accent3 2 2 2 2 2 2 2 2 10" xfId="3105"/>
    <cellStyle name="Accent3 2 2 2 2 2 2 2 11" xfId="3106"/>
    <cellStyle name="Accent3 2 2 2 2 2 2 11" xfId="3107"/>
    <cellStyle name="Accent3 2 2 2 2 2 12" xfId="3108"/>
    <cellStyle name="60% - Accent1 11" xfId="3109"/>
    <cellStyle name="Accent3 2 2 2 2 12" xfId="3110"/>
    <cellStyle name="60% - Accent1 2 10" xfId="3111"/>
    <cellStyle name="60% - Accent1 2 2 6" xfId="3112"/>
    <cellStyle name="60% - Accent1 2 2 2 6" xfId="3113"/>
    <cellStyle name="60% - Accent1 2 2 2 2 5" xfId="3114"/>
    <cellStyle name="60% - Accent1 2 2 2 2 2 5" xfId="3115"/>
    <cellStyle name="60% - Accent1 2 2 2 2 2 2 4" xfId="3116"/>
    <cellStyle name="60% - Accent1 2 2 2 2 2 2 2 4" xfId="3117"/>
    <cellStyle name="60% - Accent1 2 2 2 2 2 2 2 2 3" xfId="3118"/>
    <cellStyle name="60% - Accent1 2 2 2 2 2 2 2 2 2 3" xfId="3119"/>
    <cellStyle name="60% - Accent1 2 2 2 2 2 2 2 2 2 2 3" xfId="3120"/>
    <cellStyle name="Accent3 2 2 2 13" xfId="3121"/>
    <cellStyle name="Accent3 2 2 13" xfId="3122"/>
    <cellStyle name="Accent3 2 17" xfId="3123"/>
    <cellStyle name="60% - Accent6 2 2 14" xfId="3124"/>
    <cellStyle name="Accent3 18" xfId="3125"/>
    <cellStyle name="60% - Accent6 2 2 2 14" xfId="3126"/>
    <cellStyle name="60% - Accent6 2 2 2 2 13" xfId="3127"/>
    <cellStyle name="60% - Accent6 2 2 2 2 2 13" xfId="3128"/>
    <cellStyle name="60% - Accent6 2 2 2 2 2 2 12" xfId="3129"/>
    <cellStyle name="60% - Accent6 2 2 2 2 2 2 2 12" xfId="3130"/>
    <cellStyle name="60% - Accent6 2 2 2 2 2 2 2 2 11" xfId="3131"/>
    <cellStyle name="60% - Accent6 2 2 2 2 2 2 2 2 2 11" xfId="3132"/>
    <cellStyle name="60% - Accent6 2 2 2 2 2 2 2 2 2 2 11" xfId="3133"/>
    <cellStyle name="Accent6 2 2 2 2 2 2 2 2 2 2 4" xfId="3134"/>
    <cellStyle name="Accent6 2 2 2 2 2 2 2 2 2 4" xfId="3135"/>
    <cellStyle name="Accent6 2 2 2 2 2 2 2 2 4" xfId="3136"/>
    <cellStyle name="Accent6 2 2 2 2 2 2 2 5" xfId="3137"/>
    <cellStyle name="Accent6 2 2 2 2 2 2 5" xfId="3138"/>
    <cellStyle name="Accent6 2 2 2 2 2 6" xfId="3139"/>
    <cellStyle name="Accent6 2 2 2 2 6" xfId="3140"/>
    <cellStyle name="Accent6 2 2 2 7" xfId="3141"/>
    <cellStyle name="Accent6 2 2 7" xfId="3142"/>
    <cellStyle name="Accent6 2 11" xfId="3143"/>
    <cellStyle name="Accent6 12" xfId="3144"/>
    <cellStyle name="60% - Accent5 15" xfId="3145"/>
    <cellStyle name="60% - Accent5 2 14" xfId="3146"/>
    <cellStyle name="60% - Accent5 2 2 10" xfId="3147"/>
    <cellStyle name="60% - Accent5 2 2 2 10" xfId="3148"/>
    <cellStyle name="60% - Accent5 2 2 2 2 9" xfId="3149"/>
    <cellStyle name="60% - Accent5 2 2 2 2 2 9" xfId="3150"/>
    <cellStyle name="60% - Accent5 2 2 2 2 2 2 8" xfId="3151"/>
    <cellStyle name="60% - Accent5 2 2 2 2 2 2 2 8" xfId="3152"/>
    <cellStyle name="60% - Accent5 2 2 2 2 2 2 2 2 7" xfId="3153"/>
    <cellStyle name="60% - Accent2 11" xfId="3154"/>
    <cellStyle name="60% - Accent5 2 2 2 2 2 2 2 2 2 7" xfId="3155"/>
    <cellStyle name="60% - Accent2 2 10" xfId="3156"/>
    <cellStyle name="60% - Accent2 2 2 6" xfId="3157"/>
    <cellStyle name="60% - Accent2 2 2 2 6" xfId="3158"/>
    <cellStyle name="60% - Accent2 2 2 2 2 5" xfId="3159"/>
    <cellStyle name="60% - Accent2 2 2 2 2 2 5" xfId="3160"/>
    <cellStyle name="60% - Accent2 2 2 2 2 2 2 4" xfId="3161"/>
    <cellStyle name="60% - Accent2 2 2 2 2 2 2 2 4" xfId="3162"/>
    <cellStyle name="60% - Accent2 2 2 2 2 2 2 2 2 3" xfId="3163"/>
    <cellStyle name="60% - Accent2 2 2 2 2 2 2 2 2 2 3" xfId="3164"/>
    <cellStyle name="60% - Accent2 2 2 2 2 2 2 2 2 2 2 3" xfId="3165"/>
    <cellStyle name="60% - Accent5 2 2 2 2 2 2 2 2 2 2 7" xfId="3166"/>
    <cellStyle name="Accent4 2 2 2 2 2 2 2 2 2 2 6" xfId="3167"/>
    <cellStyle name="Accent4 2 2 2 2 2 2 2 2 2 6" xfId="3168"/>
    <cellStyle name="60% - Accent4 13" xfId="3169"/>
    <cellStyle name="Accent4 2 2 2 2 2 2 2 2 6" xfId="3170"/>
    <cellStyle name="60% - Accent4 2 12" xfId="3171"/>
    <cellStyle name="60% - Accent4 2 2 8" xfId="3172"/>
    <cellStyle name="60% - Accent4 2 2 2 8" xfId="3173"/>
    <cellStyle name="60% - Accent4 2 2 2 2 7" xfId="3174"/>
    <cellStyle name="60% - Accent4 2 2 2 2 2 7" xfId="3175"/>
    <cellStyle name="60% - Accent4 2 2 2 2 2 2 6" xfId="3176"/>
    <cellStyle name="60% - Accent4 2 2 2 2 2 2 2 6" xfId="3177"/>
    <cellStyle name="60% - Accent4 2 2 2 2 2 2 2 2 5" xfId="3178"/>
    <cellStyle name="60% - Accent4 2 2 2 2 2 2 2 2 2 5" xfId="3179"/>
    <cellStyle name="60% - Accent4 2 2 2 2 2 2 2 2 2 2 5" xfId="3180"/>
    <cellStyle name="Accent4 2 2 2 2 2 2 2 7" xfId="3181"/>
    <cellStyle name="Accent4 2 2 2 2 2 2 7" xfId="3182"/>
    <cellStyle name="Accent4 2 2 2 2 2 8" xfId="3183"/>
    <cellStyle name="Accent4 2 2 2 2 8" xfId="3184"/>
    <cellStyle name="Accent4 2 2 2 9" xfId="3185"/>
    <cellStyle name="Accent4 2 2 9" xfId="3186"/>
    <cellStyle name="Accent4 2 13" xfId="3187"/>
    <cellStyle name="Accent4 14" xfId="3188"/>
    <cellStyle name="60% - Accent6 17" xfId="3189"/>
    <cellStyle name="Accent5 2 2 2 2 2 2 2 2 2 2 4" xfId="3190"/>
    <cellStyle name="Accent5 2 2 2 2 2 2 2 2 2 4" xfId="3191"/>
    <cellStyle name="Accent5 2 2 2 2 2 2 2 2 4" xfId="3192"/>
    <cellStyle name="Accent5 2 2 2 2 2 2 2 5" xfId="3193"/>
    <cellStyle name="Accent5 2 2 2 2 2 2 5" xfId="3194"/>
    <cellStyle name="Accent5 2 2 2 2 2 6" xfId="3195"/>
    <cellStyle name="Accent5 2 2 2 2 6" xfId="3196"/>
    <cellStyle name="Accent5 2 2 2 7" xfId="3197"/>
    <cellStyle name="Accent5 2 2 7" xfId="3198"/>
    <cellStyle name="Accent5 2 11" xfId="3199"/>
    <cellStyle name="60% - Accent6 2 16" xfId="3200"/>
    <cellStyle name="Accent5 12" xfId="3201"/>
    <cellStyle name="Accent3 2 2 2 2 2 2 2 2 2 2 8" xfId="3202"/>
    <cellStyle name="Accent3 2 2 2 2 2 2 2 2 2 8" xfId="3203"/>
    <cellStyle name="Accent3 2 2 2 2 2 2 2 2 8" xfId="3204"/>
    <cellStyle name="Accent3 2 2 2 2 2 2 2 9" xfId="3205"/>
    <cellStyle name="Accent3 2 2 2 2 2 2 9" xfId="3206"/>
    <cellStyle name="Accent3 2 2 2 2 2 10" xfId="3207"/>
    <cellStyle name="Accent3 2 2 2 2 10" xfId="3208"/>
    <cellStyle name="60% - Accent3 11" xfId="3209"/>
    <cellStyle name="Accent3 2 2 2 11" xfId="3210"/>
    <cellStyle name="60% - Accent3 2 10" xfId="3211"/>
    <cellStyle name="60% - Accent3 2 2 6" xfId="3212"/>
    <cellStyle name="60% - Accent3 2 2 2 6" xfId="3213"/>
    <cellStyle name="60% - Accent3 2 2 2 2 5" xfId="3214"/>
    <cellStyle name="60% - Accent3 2 2 2 2 2 5" xfId="3215"/>
    <cellStyle name="60% - Accent3 2 2 2 2 2 2 4" xfId="3216"/>
    <cellStyle name="60% - Accent3 2 2 2 2 2 2 2 4" xfId="3217"/>
    <cellStyle name="60% - Accent3 2 2 2 2 2 2 2 2 3" xfId="3218"/>
    <cellStyle name="60% - Accent3 2 2 2 2 2 2 2 2 2 3" xfId="3219"/>
    <cellStyle name="60% - Accent3 2 2 2 2 2 2 2 2 2 2 3" xfId="3220"/>
    <cellStyle name="Accent3 2 2 11" xfId="3221"/>
    <cellStyle name="Accent3 2 15" xfId="3222"/>
    <cellStyle name="60% - Accent6 2 2 12" xfId="3223"/>
    <cellStyle name="Accent3 16" xfId="3224"/>
    <cellStyle name="60% - Accent6 2 2 2 12" xfId="3225"/>
    <cellStyle name="60% - Accent6 2 2 2 2 11" xfId="3226"/>
    <cellStyle name="60% - Accent6 2 2 2 2 2 11" xfId="3227"/>
    <cellStyle name="60% - Accent6 2 2 2 2 2 2 10" xfId="3228"/>
    <cellStyle name="60% - Accent6 2 2 2 2 2 2 2 10" xfId="3229"/>
    <cellStyle name="60% - Accent6 2 2 2 2 2 2 2 2 9" xfId="3230"/>
    <cellStyle name="60% - Accent6 2 2 2 2 2 2 2 2 2 9" xfId="3231"/>
    <cellStyle name="60% - Accent6 2 2 2 2 2 2 2 2 2 2 9" xfId="3232"/>
    <cellStyle name="60% - Accent5 13" xfId="3233"/>
    <cellStyle name="60% - Accent5 2 12" xfId="3234"/>
    <cellStyle name="60% - Accent5 2 2 8" xfId="3235"/>
    <cellStyle name="60% - Accent5 2 2 2 8" xfId="3236"/>
    <cellStyle name="60% - Accent5 2 2 2 2 7" xfId="3237"/>
    <cellStyle name="60% - Accent5 2 2 2 2 2 7" xfId="3238"/>
    <cellStyle name="60% - Accent5 2 2 2 2 2 2 6" xfId="3239"/>
    <cellStyle name="60% - Accent5 2 2 2 2 2 2 2 6" xfId="3240"/>
    <cellStyle name="60% - Accent5 2 2 2 2 2 2 2 2 5" xfId="3241"/>
    <cellStyle name="60% - Accent5 2 2 2 2 2 2 2 2 2 5" xfId="3242"/>
    <cellStyle name="60% - Accent5 2 2 2 2 2 2 2 2 2 2 5" xfId="3243"/>
    <cellStyle name="Accent4 2 2 2 2 2 2 2 2 2 2 4" xfId="3244"/>
    <cellStyle name="Accent4 2 2 2 2 2 2 2 2 2 4" xfId="3245"/>
    <cellStyle name="Accent4 2 2 2 2 2 2 2 2 4" xfId="3246"/>
    <cellStyle name="Accent4 2 2 2 2 2 2 2 5" xfId="3247"/>
    <cellStyle name="Accent4 2 2 2 2 2 2 5" xfId="3248"/>
    <cellStyle name="Accent4 2 2 2 2 2 6" xfId="3249"/>
    <cellStyle name="Accent4 2 2 2 2 6" xfId="3250"/>
    <cellStyle name="Accent4 2 2 2 7" xfId="3251"/>
    <cellStyle name="60% - Accent4 11" xfId="3252"/>
    <cellStyle name="Accent4 2 2 7" xfId="3253"/>
    <cellStyle name="60% - Accent4 2 10" xfId="3254"/>
    <cellStyle name="60% - Accent4 2 2 6" xfId="3255"/>
    <cellStyle name="60% - Accent4 2 2 2 6" xfId="3256"/>
    <cellStyle name="60% - Accent4 2 2 2 2 5" xfId="3257"/>
    <cellStyle name="60% - Accent4 2 2 2 2 2 5" xfId="3258"/>
    <cellStyle name="60% - Accent4 2 2 2 2 2 2 4" xfId="3259"/>
    <cellStyle name="60% - Accent4 2 2 2 2 2 2 2 4" xfId="3260"/>
    <cellStyle name="60% - Accent4 2 2 2 2 2 2 2 2 3" xfId="3261"/>
    <cellStyle name="60% - Accent4 2 2 2 2 2 2 2 2 2 3" xfId="3262"/>
    <cellStyle name="60% - Accent4 2 2 2 2 2 2 2 2 2 2 3" xfId="3263"/>
    <cellStyle name="Accent4 2 11" xfId="3264"/>
    <cellStyle name="Accent4 12" xfId="3265"/>
    <cellStyle name="Accent2 2 2 2 2 2 2 2 2 2 2 10" xfId="3266"/>
    <cellStyle name="Accent2 2 2 2 2 2 2 2 2 2 10" xfId="3267"/>
    <cellStyle name="60% - Accent6 15" xfId="3268"/>
    <cellStyle name="Accent2 2 2 2 2 2 2 2 2 10" xfId="3269"/>
    <cellStyle name="60% - Accent6 2 14" xfId="3270"/>
    <cellStyle name="Accent3 2 2 2 2 2 2 2 2 2 2 6" xfId="3271"/>
    <cellStyle name="Accent3 2 2 2 2 2 2 2 2 2 6" xfId="3272"/>
    <cellStyle name="Accent3 2 2 2 2 2 2 2 2 6" xfId="3273"/>
    <cellStyle name="Accent3 2 2 2 2 2 2 2 7" xfId="3274"/>
    <cellStyle name="Accent3 2 2 2 2 2 2 7" xfId="3275"/>
    <cellStyle name="Accent3 2 2 2 2 2 8" xfId="3276"/>
    <cellStyle name="Accent3 2 2 2 2 8" xfId="3277"/>
    <cellStyle name="Accent3 2 2 2 9" xfId="3278"/>
    <cellStyle name="Accent3 2 2 9" xfId="3279"/>
    <cellStyle name="Accent3 2 13" xfId="3280"/>
    <cellStyle name="60% - Accent6 2 2 10" xfId="3281"/>
    <cellStyle name="Accent3 14" xfId="3282"/>
    <cellStyle name="60% - Accent6 2 2 2 10" xfId="3283"/>
    <cellStyle name="60% - Accent6 2 2 2 2 9" xfId="3284"/>
    <cellStyle name="60% - Accent6 2 2 2 2 2 9" xfId="3285"/>
    <cellStyle name="60% - Accent6 2 2 2 2 2 2 8" xfId="3286"/>
    <cellStyle name="60% - Accent6 2 2 2 2 2 2 2 8" xfId="3287"/>
    <cellStyle name="60% - Accent6 2 2 2 2 2 2 2 2 7" xfId="3288"/>
    <cellStyle name="60% - Accent6 2 2 2 2 2 2 2 2 2 7" xfId="3289"/>
    <cellStyle name="60% - Accent6 2 2 2 2 2 2 2 2 2 2 7" xfId="3290"/>
    <cellStyle name="Accent2 2 2 2 2 2 2 2 11" xfId="3291"/>
    <cellStyle name="Accent2 2 2 2 2 2 2 11" xfId="3292"/>
    <cellStyle name="Accent2 2 2 2 2 2 12" xfId="3293"/>
    <cellStyle name="Accent2 2 2 2 2 12" xfId="3294"/>
    <cellStyle name="Accent2 2 2 2 13" xfId="3295"/>
    <cellStyle name="Accent2 2 2 13" xfId="3296"/>
    <cellStyle name="Accent2 2 17" xfId="3297"/>
    <cellStyle name="Accent2 18" xfId="3298"/>
    <cellStyle name="Accent1 19" xfId="3299"/>
    <cellStyle name="Accent1 2 18" xfId="3300"/>
    <cellStyle name="Accent2 2 2 2 2 2 2 2 2 2 2 8" xfId="3301"/>
    <cellStyle name="Accent2 2 2 2 2 2 2 2 2 2 8" xfId="3302"/>
    <cellStyle name="60% - Accent5 11" xfId="3303"/>
    <cellStyle name="60% - Accent6 13" xfId="3304"/>
    <cellStyle name="60% - Accent5 2 10" xfId="3305"/>
    <cellStyle name="60% - Accent5 2 2 6" xfId="3306"/>
    <cellStyle name="60% - Accent5 2 2 2 6" xfId="3307"/>
    <cellStyle name="60% - Accent5 2 2 2 2 5" xfId="3308"/>
    <cellStyle name="60% - Accent5 2 2 2 2 2 5" xfId="3309"/>
    <cellStyle name="60% - Accent5 2 2 2 2 2 2 4" xfId="3310"/>
    <cellStyle name="60% - Accent5 2 2 2 2 2 2 2 4" xfId="3311"/>
    <cellStyle name="60% - Accent5 2 2 2 2 2 2 2 2 3" xfId="3312"/>
    <cellStyle name="60% - Accent5 2 2 2 2 2 2 2 2 2 3" xfId="3313"/>
    <cellStyle name="60% - Accent5 2 2 2 2 2 2 2 2 2 2 3" xfId="3314"/>
    <cellStyle name="Accent2 2 2 2 2 2 2 2 2 8" xfId="3315"/>
    <cellStyle name="60% - Accent6 2 12" xfId="3316"/>
    <cellStyle name="Accent3 2 2 2 2 2 2 2 2 2 2 4" xfId="3317"/>
    <cellStyle name="Accent3 2 2 2 2 2 2 2 2 2 4" xfId="3318"/>
    <cellStyle name="Accent3 2 2 2 2 2 2 2 2 4" xfId="3319"/>
    <cellStyle name="Accent3 2 2 2 2 2 2 2 5" xfId="3320"/>
    <cellStyle name="Accent3 2 2 2 2 2 2 5" xfId="3321"/>
    <cellStyle name="Accent3 2 2 2 2 2 6" xfId="3322"/>
    <cellStyle name="Accent3 2 2 2 2 6" xfId="3323"/>
    <cellStyle name="Accent3 2 2 2 7" xfId="3324"/>
    <cellStyle name="Accent3 2 2 7" xfId="3325"/>
    <cellStyle name="Accent3 2 11" xfId="3326"/>
    <cellStyle name="60% - Accent6 2 2 8" xfId="3327"/>
    <cellStyle name="Accent3 12" xfId="3328"/>
    <cellStyle name="60% - Accent6 2 2 2 8" xfId="3329"/>
    <cellStyle name="60% - Accent6 2 2 2 2 7" xfId="3330"/>
    <cellStyle name="60% - Accent6 2 2 2 2 2 7" xfId="3331"/>
    <cellStyle name="60% - Accent6 2 2 2 2 2 2 6" xfId="3332"/>
    <cellStyle name="60% - Accent6 2 2 2 2 2 2 2 6" xfId="3333"/>
    <cellStyle name="60% - Accent6 2 2 2 2 2 2 2 2 5" xfId="3334"/>
    <cellStyle name="60% - Accent6 2 2 2 2 2 2 2 2 2 5" xfId="3335"/>
    <cellStyle name="60% - Accent6 2 2 2 2 2 2 2 2 2 2 5" xfId="3336"/>
    <cellStyle name="Accent2 2 2 2 2 2 2 2 9" xfId="3337"/>
    <cellStyle name="Accent2 2 2 2 2 2 2 9" xfId="3338"/>
    <cellStyle name="Accent2 2 2 2 2 2 10" xfId="3339"/>
    <cellStyle name="Accent2 2 2 2 2 10" xfId="3340"/>
    <cellStyle name="Accent2 2 2 2 11" xfId="3341"/>
    <cellStyle name="Accent2 2 2 11" xfId="3342"/>
    <cellStyle name="Accent2 2 15" xfId="3343"/>
    <cellStyle name="Accent1 2 2 14" xfId="3344"/>
    <cellStyle name="Accent2 16" xfId="3345"/>
    <cellStyle name="Accent1 2 2 2 14" xfId="3346"/>
    <cellStyle name="Accent1 2 2 2 2 13" xfId="3347"/>
    <cellStyle name="Accent1 2 2 2 2 2 13" xfId="3348"/>
    <cellStyle name="Accent1 2 2 2 2 2 2 12" xfId="3349"/>
    <cellStyle name="Accent1 2 2 2 2 2 2 2 12" xfId="3350"/>
    <cellStyle name="Accent1 2 2 2 2 2 2 2 2 11" xfId="3351"/>
    <cellStyle name="Accent1 2 2 2 2 2 2 2 2 2 11" xfId="3352"/>
    <cellStyle name="Accent1 17" xfId="3353"/>
    <cellStyle name="Accent1 2 2 2 2 2 2 2 2 2 2 11" xfId="3354"/>
    <cellStyle name="Accent1 2 16" xfId="3355"/>
    <cellStyle name="Accent2 2 2 2 2 2 2 2 2 2 2 6" xfId="3356"/>
    <cellStyle name="Accent2 2 2 2 2 2 2 2 2 2 6" xfId="3357"/>
    <cellStyle name="Accent2 2 2 2 2 2 2 2 2 6" xfId="3358"/>
    <cellStyle name="Accent2 2 2 2 2 2 2 2 7" xfId="3359"/>
    <cellStyle name="Accent2 2 2 2 2 2 2 7" xfId="3360"/>
    <cellStyle name="Accent2 2 2 2 2 2 8" xfId="3361"/>
    <cellStyle name="Accent2 2 2 2 2 8" xfId="3362"/>
    <cellStyle name="Accent2 2 2 2 9" xfId="3363"/>
    <cellStyle name="60% - Accent6 11" xfId="3364"/>
    <cellStyle name="Accent2 2 2 9" xfId="3365"/>
    <cellStyle name="60% - Accent6 2 10" xfId="3366"/>
    <cellStyle name="60% - Accent6 2 2 6" xfId="3367"/>
    <cellStyle name="60% - Accent6 2 2 2 6" xfId="3368"/>
    <cellStyle name="60% - Accent6 2 2 2 2 5" xfId="3369"/>
    <cellStyle name="60% - Accent6 2 2 2 2 2 5" xfId="3370"/>
    <cellStyle name="60% - Accent6 2 2 2 2 2 2 4" xfId="3371"/>
    <cellStyle name="60% - Accent6 2 2 2 2 2 2 2 4" xfId="3372"/>
    <cellStyle name="60% - Accent6 2 2 2 2 2 2 2 2 3" xfId="3373"/>
    <cellStyle name="60% - Accent6 2 2 2 2 2 2 2 2 2 3" xfId="3374"/>
    <cellStyle name="60% - Accent6 2 2 2 2 2 2 2 2 2 2 3" xfId="3375"/>
    <cellStyle name="Accent2 2 13" xfId="3376"/>
    <cellStyle name="Accent1 2 2 12" xfId="3377"/>
    <cellStyle name="Accent2 14" xfId="3378"/>
    <cellStyle name="Accent1 2 2 2 12" xfId="3379"/>
    <cellStyle name="Accent1 2 2 2 2 11" xfId="3380"/>
    <cellStyle name="Accent1 2 2 2 2 2 11" xfId="3381"/>
    <cellStyle name="Accent1 2 2 2 2 2 2 10" xfId="3382"/>
    <cellStyle name="Accent1 2 2 2 2 2 2 2 10" xfId="3383"/>
    <cellStyle name="Accent1 2 2 2 2 2 2 2 2 9" xfId="3384"/>
    <cellStyle name="Accent1 2 2 2 2 2 2 2 2 2 9" xfId="3385"/>
    <cellStyle name="Accent1 15" xfId="3386"/>
    <cellStyle name="Accent1 2 2 2 2 2 2 2 2 2 2 9" xfId="3387"/>
    <cellStyle name="Accent1 2 14" xfId="3388"/>
    <cellStyle name="Accent2 2 2 2 2 2 2 2 2 2 2 4" xfId="3389"/>
    <cellStyle name="Accent2 2 2 2 2 2 2 2 2 2 4" xfId="3390"/>
    <cellStyle name="Accent2 2 2 2 2 2 2 2 2 4" xfId="3391"/>
    <cellStyle name="Accent2 2 2 2 2 2 2 2 5" xfId="3392"/>
    <cellStyle name="Accent2 2 2 2 2 2 2 5" xfId="3393"/>
    <cellStyle name="Accent2 2 2 2 2 2 6" xfId="3394"/>
    <cellStyle name="Accent2 2 2 2 2 6" xfId="3395"/>
    <cellStyle name="Accent2 2 2 2 7" xfId="3396"/>
    <cellStyle name="Accent2 2 2 7" xfId="3397"/>
    <cellStyle name="Accent2 2 11" xfId="3398"/>
    <cellStyle name="Accent1 2 2 10" xfId="3399"/>
    <cellStyle name="Accent2 12" xfId="3400"/>
    <cellStyle name="Accent1 2 2 2 10" xfId="3401"/>
    <cellStyle name="Accent1 2 2 2 2 9" xfId="3402"/>
    <cellStyle name="Accent1 2 2 2 2 2 9" xfId="3403"/>
    <cellStyle name="Accent1 2 2 2 2 2 2 8" xfId="3404"/>
    <cellStyle name="Accent1 2 2 2 2 2 2 2 8" xfId="3405"/>
    <cellStyle name="Accent1 2 2 2 2 2 2 2 2 7" xfId="3406"/>
    <cellStyle name="Accent1 2 2 2 2 2 2 2 2 2 7" xfId="3407"/>
    <cellStyle name="Accent1 13" xfId="3408"/>
    <cellStyle name="Accent1 2 2 2 2 2 2 2 2 2 2 7" xfId="3409"/>
    <cellStyle name="Accent1 2 12" xfId="3410"/>
    <cellStyle name="Accent1 2 2 8" xfId="3411"/>
    <cellStyle name="Accent1 2 2 2 8" xfId="3412"/>
    <cellStyle name="Accent1 2 2 2 2 7" xfId="3413"/>
    <cellStyle name="Accent1 2 2 2 2 2 7" xfId="3414"/>
    <cellStyle name="Accent1 2 2 2 2 2 2 6" xfId="3415"/>
    <cellStyle name="Accent1 2 2 2 2 2 2 2 6" xfId="3416"/>
    <cellStyle name="Accent1 2 2 2 2 2 2 2 2 5" xfId="3417"/>
    <cellStyle name="Accent1 2 2 2 2 2 2 2 2 2 5" xfId="3418"/>
    <cellStyle name="Accent1 2 2 2 2 2 2 2 2 2 2 5" xfId="3419"/>
    <cellStyle name="Accent1 11" xfId="3420"/>
    <cellStyle name="Accent1 2 10" xfId="3421"/>
    <cellStyle name="Accent1 2 2 6" xfId="3422"/>
    <cellStyle name="Accent1 2 2 2 6" xfId="3423"/>
    <cellStyle name="Accent1 2 2 2 2 5" xfId="3424"/>
    <cellStyle name="Accent1 2 2 2 2 2 5" xfId="3425"/>
    <cellStyle name="Accent1 2 2 2 2 2 2 4" xfId="3426"/>
    <cellStyle name="Accent1 2 2 2 2 2 2 2 4" xfId="3427"/>
    <cellStyle name="Accent1 2 2 2 2 2 2 2 2 3" xfId="3428"/>
    <cellStyle name="Accent1 2 2 2 2 2 2 2 2 2 3" xfId="3429"/>
    <cellStyle name="Accent1 2 2 2 2 2 2 2 2 2 2 3" xfId="3430"/>
    <cellStyle name="Accent1 2 2 2 2 2 2 2 2 2 2 4" xfId="3431"/>
    <cellStyle name="Accent1 2 2 2 2 2 2 2 2 2 4" xfId="3432"/>
    <cellStyle name="Accent1 2 2 2 2 2 2 2 2 4" xfId="3433"/>
    <cellStyle name="Accent1 2 2 2 2 2 2 2 5" xfId="3434"/>
    <cellStyle name="Accent1 2 2 2 2 2 2 5" xfId="3435"/>
    <cellStyle name="Accent1 2 2 2 2 2 6" xfId="3436"/>
    <cellStyle name="Accent1 2 2 2 2 6" xfId="3437"/>
    <cellStyle name="Accent1 2 2 2 7" xfId="3438"/>
    <cellStyle name="Accent1 2 2 7" xfId="3439"/>
    <cellStyle name="Accent1 2 11" xfId="3440"/>
    <cellStyle name="Accent1 2 2 2 2 2 2 2 2 2 2 6" xfId="3441"/>
    <cellStyle name="Accent1 12" xfId="3442"/>
    <cellStyle name="Accent1 2 2 2 2 2 2 2 2 2 6" xfId="3443"/>
    <cellStyle name="Accent1 2 2 2 2 2 2 2 2 6" xfId="3444"/>
    <cellStyle name="Accent1 2 2 2 2 2 2 2 7" xfId="3445"/>
    <cellStyle name="Accent1 2 2 2 2 2 2 7" xfId="3446"/>
    <cellStyle name="Accent1 2 2 2 2 2 8" xfId="3447"/>
    <cellStyle name="Accent1 2 2 2 2 8" xfId="3448"/>
    <cellStyle name="Accent1 2 2 2 9" xfId="3449"/>
    <cellStyle name="Accent1 2 2 9" xfId="3450"/>
    <cellStyle name="Accent1 2 13" xfId="3451"/>
    <cellStyle name="Accent1 2 2 2 2 2 2 2 2 2 2 8" xfId="3452"/>
    <cellStyle name="Accent1 14" xfId="3453"/>
    <cellStyle name="Accent1 2 2 2 2 2 2 2 2 2 8" xfId="3454"/>
    <cellStyle name="Accent1 2 2 2 2 2 2 2 2 8" xfId="3455"/>
    <cellStyle name="Accent2 11" xfId="3456"/>
    <cellStyle name="Accent1 2 2 2 2 2 2 2 9" xfId="3457"/>
    <cellStyle name="Accent2 2 10" xfId="3458"/>
    <cellStyle name="Accent2 2 2 6" xfId="3459"/>
    <cellStyle name="Accent2 2 2 2 6" xfId="3460"/>
    <cellStyle name="Accent2 2 2 2 2 5" xfId="3461"/>
    <cellStyle name="Accent2 2 2 2 2 2 5" xfId="3462"/>
    <cellStyle name="Accent2 2 2 2 2 2 2 4" xfId="3463"/>
    <cellStyle name="Accent2 2 2 2 2 2 2 2 4" xfId="3464"/>
    <cellStyle name="Accent2 2 2 2 2 2 2 2 2 3" xfId="3465"/>
    <cellStyle name="Accent2 2 2 2 2 2 2 2 2 2 3" xfId="3466"/>
    <cellStyle name="Accent2 2 2 2 2 2 2 2 2 2 2 3" xfId="3467"/>
    <cellStyle name="Accent1 2 2 2 2 2 2 9" xfId="3468"/>
    <cellStyle name="Accent1 2 2 2 2 2 10" xfId="3469"/>
    <cellStyle name="Accent1 2 2 2 2 10" xfId="3470"/>
    <cellStyle name="Accent1 2 2 2 11" xfId="3471"/>
    <cellStyle name="Accent2 13" xfId="3472"/>
    <cellStyle name="Accent1 2 2 11" xfId="3473"/>
    <cellStyle name="Accent2 2 12" xfId="3474"/>
    <cellStyle name="Accent2 2 2 8" xfId="3475"/>
    <cellStyle name="Accent2 2 2 2 8" xfId="3476"/>
    <cellStyle name="Accent2 2 2 2 2 7" xfId="3477"/>
    <cellStyle name="Accent2 2 2 2 2 2 7" xfId="3478"/>
    <cellStyle name="Accent2 2 2 2 2 2 2 6" xfId="3479"/>
    <cellStyle name="Accent2 2 2 2 2 2 2 2 6" xfId="3480"/>
    <cellStyle name="Accent2 2 2 2 2 2 2 2 2 5" xfId="3481"/>
    <cellStyle name="Accent2 2 2 2 2 2 2 2 2 2 5" xfId="3482"/>
    <cellStyle name="Accent2 2 2 2 2 2 2 2 2 2 2 5" xfId="3483"/>
    <cellStyle name="Accent1 2 15" xfId="3484"/>
    <cellStyle name="Accent1 2 2 2 2 2 2 2 2 2 2 10" xfId="3485"/>
    <cellStyle name="Accent1 16" xfId="3486"/>
    <cellStyle name="Accent1 2 2 2 2 2 2 2 2 2 10" xfId="3487"/>
    <cellStyle name="Accent1 2 2 2 2 2 2 2 2 10" xfId="3488"/>
    <cellStyle name="Accent1 2 2 2 2 2 2 2 11" xfId="3489"/>
    <cellStyle name="Accent1 2 2 2 2 2 2 11" xfId="3490"/>
    <cellStyle name="Accent1 2 2 2 2 2 12" xfId="3491"/>
    <cellStyle name="Accent1 2 2 2 2 12" xfId="3492"/>
    <cellStyle name="Accent1 2 2 2 13" xfId="3493"/>
    <cellStyle name="Accent2 15" xfId="3494"/>
    <cellStyle name="Accent1 2 2 13" xfId="3495"/>
    <cellStyle name="Accent2 2 14" xfId="3496"/>
    <cellStyle name="Accent2 2 2 10" xfId="3497"/>
    <cellStyle name="Accent2 2 2 2 10" xfId="3498"/>
    <cellStyle name="Accent2 2 2 2 2 9" xfId="3499"/>
    <cellStyle name="Accent2 2 2 2 2 2 9" xfId="3500"/>
    <cellStyle name="Accent2 2 2 2 2 2 2 8" xfId="3501"/>
    <cellStyle name="Accent2 2 2 2 2 2 2 2 8" xfId="3502"/>
    <cellStyle name="60% - Accent6 2 2 2 2 2 2 2 2 2 2 4" xfId="3503"/>
    <cellStyle name="60% - Accent6 2 2 2 2 2 2 2 2 2 4" xfId="3504"/>
    <cellStyle name="60% - Accent6 2 2 2 2 2 2 2 2 4" xfId="3505"/>
    <cellStyle name="60% - Accent6 2 2 2 2 2 2 2 5" xfId="3506"/>
    <cellStyle name="60% - Accent6 2 2 2 2 2 2 5" xfId="3507"/>
    <cellStyle name="60% - Accent6 2 2 2 2 2 6" xfId="3508"/>
    <cellStyle name="60% - Accent6 2 2 2 2 6" xfId="3509"/>
    <cellStyle name="60% - Accent6 2 2 2 7" xfId="3510"/>
    <cellStyle name="60% - Accent6 2 2 7" xfId="3511"/>
    <cellStyle name="60% - Accent6 2 11" xfId="3512"/>
    <cellStyle name="Accent2 2 2 2 2 2 2 2 2 7" xfId="3513"/>
    <cellStyle name="60% - Accent6 12" xfId="3514"/>
    <cellStyle name="Accent2 2 2 2 2 2 2 2 2 2 7" xfId="3515"/>
    <cellStyle name="Accent2 2 2 2 2 2 2 2 2 2 2 7" xfId="3516"/>
    <cellStyle name="Accent3 11" xfId="3517"/>
    <cellStyle name="Accent1 2 17" xfId="3518"/>
    <cellStyle name="Accent3 2 10" xfId="3519"/>
    <cellStyle name="Accent3 2 2 6" xfId="3520"/>
    <cellStyle name="Accent3 2 2 2 6" xfId="3521"/>
    <cellStyle name="Accent3 2 2 2 2 5" xfId="3522"/>
    <cellStyle name="Accent3 2 2 2 2 2 5" xfId="3523"/>
    <cellStyle name="Accent3 2 2 2 2 2 2 4" xfId="3524"/>
    <cellStyle name="Accent3 2 2 2 2 2 2 2 4" xfId="3525"/>
    <cellStyle name="Accent3 2 2 2 2 2 2 2 2 3" xfId="3526"/>
    <cellStyle name="Accent3 2 2 2 2 2 2 2 2 2 3" xfId="3527"/>
    <cellStyle name="Accent3 2 2 2 2 2 2 2 2 2 2 3" xfId="3528"/>
    <cellStyle name="Accent1 18" xfId="3529"/>
    <cellStyle name="Accent2 17" xfId="3530"/>
    <cellStyle name="Accent2 2 16" xfId="3531"/>
    <cellStyle name="Accent2 2 2 12" xfId="3532"/>
    <cellStyle name="Accent2 2 2 2 12" xfId="3533"/>
    <cellStyle name="Accent2 2 2 2 2 11" xfId="3534"/>
    <cellStyle name="Accent2 2 2 2 2 2 11" xfId="3535"/>
    <cellStyle name="Accent2 2 2 2 2 2 2 10" xfId="3536"/>
    <cellStyle name="Accent2 2 2 2 2 2 2 2 10" xfId="3537"/>
    <cellStyle name="60% - Accent6 2 2 2 2 2 2 2 2 2 2 6" xfId="3538"/>
    <cellStyle name="60% - Accent6 2 2 2 2 2 2 2 2 2 6" xfId="3539"/>
    <cellStyle name="60% - Accent6 2 2 2 2 2 2 2 2 6" xfId="3540"/>
    <cellStyle name="60% - Accent6 2 2 2 2 2 2 2 7" xfId="3541"/>
    <cellStyle name="60% - Accent6 2 2 2 2 2 2 7" xfId="3542"/>
    <cellStyle name="60% - Accent6 2 2 2 2 2 8" xfId="3543"/>
    <cellStyle name="60% - Accent6 2 2 2 2 8" xfId="3544"/>
    <cellStyle name="60% - Accent6 2 2 2 9" xfId="3545"/>
    <cellStyle name="Accent3 13" xfId="3546"/>
    <cellStyle name="60% - Accent6 2 2 9" xfId="3547"/>
    <cellStyle name="Accent3 2 12" xfId="3548"/>
    <cellStyle name="Accent3 2 2 8" xfId="3549"/>
    <cellStyle name="Accent3 2 2 2 8" xfId="3550"/>
    <cellStyle name="Accent3 2 2 2 2 7" xfId="3551"/>
    <cellStyle name="Accent3 2 2 2 2 2 7" xfId="3552"/>
    <cellStyle name="Accent3 2 2 2 2 2 2 6" xfId="3553"/>
    <cellStyle name="Accent3 2 2 2 2 2 2 2 6" xfId="3554"/>
    <cellStyle name="Accent3 2 2 2 2 2 2 2 2 5" xfId="3555"/>
    <cellStyle name="Accent3 2 2 2 2 2 2 2 2 2 5" xfId="3556"/>
    <cellStyle name="Accent3 2 2 2 2 2 2 2 2 2 2 5" xfId="3557"/>
    <cellStyle name="60% - Accent6 2 13" xfId="3558"/>
    <cellStyle name="Accent2 2 2 2 2 2 2 2 2 9" xfId="3559"/>
    <cellStyle name="60% - Accent6 14" xfId="3560"/>
    <cellStyle name="Accent2 2 2 2 2 2 2 2 2 2 9" xfId="3561"/>
    <cellStyle name="Accent2 2 2 2 2 2 2 2 2 2 2 9" xfId="3562"/>
    <cellStyle name="60% - Accent5 2 2 2 2 2 2 2 2 2 2 4" xfId="3563"/>
    <cellStyle name="60% - Accent5 2 2 2 2 2 2 2 2 2 4" xfId="3564"/>
    <cellStyle name="60% - Accent5 2 2 2 2 2 2 2 2 4" xfId="3565"/>
    <cellStyle name="Accent4 11" xfId="3566"/>
    <cellStyle name="60% - Accent5 2 2 2 2 2 2 2 5" xfId="3567"/>
    <cellStyle name="Accent4 2 10" xfId="3568"/>
    <cellStyle name="Accent4 2 2 6" xfId="3569"/>
    <cellStyle name="Accent4 2 2 2 6" xfId="3570"/>
    <cellStyle name="Accent4 2 2 2 2 5" xfId="3571"/>
    <cellStyle name="Accent4 2 2 2 2 2 5" xfId="3572"/>
    <cellStyle name="Accent4 2 2 2 2 2 2 4" xfId="3573"/>
    <cellStyle name="Accent4 2 2 2 2 2 2 2 4" xfId="3574"/>
    <cellStyle name="Accent4 2 2 2 2 2 2 2 2 3" xfId="3575"/>
    <cellStyle name="Accent4 2 2 2 2 2 2 2 2 2 3" xfId="3576"/>
    <cellStyle name="Accent4 2 2 2 2 2 2 2 2 2 2 3" xfId="3577"/>
    <cellStyle name="60% - Accent5 2 2 2 2 2 2 5" xfId="3578"/>
    <cellStyle name="60% - Accent5 2 2 2 2 2 6" xfId="3579"/>
    <cellStyle name="60% - Accent5 2 2 2 2 6" xfId="3580"/>
    <cellStyle name="60% - Accent5 2 2 2 7" xfId="3581"/>
    <cellStyle name="60% - Accent5 2 2 7" xfId="3582"/>
    <cellStyle name="60% - Accent5 2 11" xfId="3583"/>
    <cellStyle name="60% - Accent5 12" xfId="3584"/>
    <cellStyle name="Accent2 19" xfId="3585"/>
    <cellStyle name="Accent2 2 18" xfId="3586"/>
    <cellStyle name="Accent2 2 2 14" xfId="3587"/>
    <cellStyle name="Accent2 2 2 2 14" xfId="3588"/>
    <cellStyle name="Accent2 2 2 2 2 13" xfId="3589"/>
    <cellStyle name="Accent2 2 2 2 2 2 13" xfId="3590"/>
    <cellStyle name="Accent2 2 2 2 2 2 2 12" xfId="3591"/>
    <cellStyle name="Accent2 2 2 2 2 2 2 2 12" xfId="3592"/>
    <cellStyle name="60% - Accent6 2 2 2 2 2 2 2 2 2 2 8" xfId="3593"/>
    <cellStyle name="60% - Accent6 2 2 2 2 2 2 2 2 2 8" xfId="3594"/>
    <cellStyle name="60% - Accent6 2 2 2 2 2 2 2 2 8" xfId="3595"/>
    <cellStyle name="60% - Accent6 2 2 2 2 2 2 2 9" xfId="3596"/>
    <cellStyle name="60% - Accent6 2 2 2 2 2 2 9" xfId="3597"/>
    <cellStyle name="60% - Accent6 2 2 2 2 2 10" xfId="3598"/>
    <cellStyle name="60% - Accent6 2 2 2 2 10" xfId="3599"/>
    <cellStyle name="60% - Accent6 2 2 2 11" xfId="3600"/>
    <cellStyle name="Accent3 15" xfId="3601"/>
    <cellStyle name="60% - Accent6 2 2 11" xfId="3602"/>
    <cellStyle name="Accent3 2 14" xfId="3603"/>
    <cellStyle name="Accent3 2 2 10" xfId="3604"/>
    <cellStyle name="Accent3 2 2 2 10" xfId="3605"/>
    <cellStyle name="Accent3 2 2 2 2 9" xfId="3606"/>
    <cellStyle name="Accent3 2 2 2 2 2 9" xfId="3607"/>
    <cellStyle name="Accent3 2 2 2 2 2 2 8" xfId="3608"/>
    <cellStyle name="Accent3 2 2 2 2 2 2 2 8" xfId="3609"/>
    <cellStyle name="Accent3 2 2 2 2 2 2 2 2 7" xfId="3610"/>
    <cellStyle name="Accent3 2 2 2 2 2 2 2 2 2 7" xfId="3611"/>
    <cellStyle name="Accent3 2 2 2 2 2 2 2 2 2 2 7" xfId="3612"/>
    <cellStyle name="60% - Accent6 2 15" xfId="3613"/>
    <cellStyle name="Accent2 2 2 2 2 2 2 2 2 11" xfId="3614"/>
    <cellStyle name="60% - Accent6 16" xfId="3615"/>
    <cellStyle name="Accent2 2 2 2 2 2 2 2 2 2 11" xfId="3616"/>
    <cellStyle name="Accent2 2 2 2 2 2 2 2 2 2 2 11" xfId="3617"/>
    <cellStyle name="Accent4 13" xfId="3618"/>
    <cellStyle name="Accent5 11" xfId="3619"/>
    <cellStyle name="Accent5 2 10" xfId="3620"/>
    <cellStyle name="Accent5 2 2 6" xfId="3621"/>
    <cellStyle name="Accent5 2 2 2 6" xfId="3622"/>
    <cellStyle name="Accent5 2 2 2 2 5" xfId="3623"/>
    <cellStyle name="Accent5 2 2 2 2 2 5" xfId="3624"/>
    <cellStyle name="Accent5 2 2 2 2 2 2 4" xfId="3625"/>
    <cellStyle name="Accent5 2 2 2 2 2 2 2 4" xfId="3626"/>
    <cellStyle name="Accent5 2 2 2 2 2 2 2 2 3" xfId="3627"/>
    <cellStyle name="Accent5 2 2 2 2 2 2 2 2 2 3" xfId="3628"/>
    <cellStyle name="Accent5 2 2 2 2 2 2 2 2 2 2 3" xfId="3629"/>
    <cellStyle name="Accent4 2 12" xfId="3630"/>
    <cellStyle name="Accent4 2 2 8" xfId="3631"/>
    <cellStyle name="Accent4 2 2 2 8" xfId="3632"/>
    <cellStyle name="Accent4 2 2 2 2 7" xfId="3633"/>
    <cellStyle name="Accent4 2 2 2 2 2 7" xfId="3634"/>
    <cellStyle name="Accent4 2 2 2 2 2 2 6" xfId="3635"/>
    <cellStyle name="Accent4 2 2 2 2 2 2 2 6" xfId="3636"/>
    <cellStyle name="60% - Accent4 2 2 2 2 2 2 2 2 2 2 4" xfId="3637"/>
    <cellStyle name="60% - Accent4 2 2 2 2 2 2 2 2 2 4" xfId="3638"/>
    <cellStyle name="60% - Accent4 2 2 2 2 2 2 2 2 4" xfId="3639"/>
    <cellStyle name="60% - Accent4 2 2 2 2 2 2 2 5" xfId="3640"/>
    <cellStyle name="60% - Accent4 2 2 2 2 2 2 5" xfId="3641"/>
    <cellStyle name="60% - Accent4 2 2 2 2 2 6" xfId="3642"/>
    <cellStyle name="60% - Accent4 2 2 2 2 6" xfId="3643"/>
    <cellStyle name="60% - Accent4 2 2 2 7" xfId="3644"/>
    <cellStyle name="60% - Accent4 2 2 7" xfId="3645"/>
    <cellStyle name="60% - Accent4 2 11" xfId="3646"/>
    <cellStyle name="Accent4 2 2 2 2 2 2 2 2 5" xfId="3647"/>
    <cellStyle name="60% - Accent4 12" xfId="3648"/>
    <cellStyle name="Accent4 2 2 2 2 2 2 2 2 2 5" xfId="3649"/>
    <cellStyle name="Accent4 2 2 2 2 2 2 2 2 2 2 5" xfId="3650"/>
    <cellStyle name="60% - Accent5 2 2 2 2 2 2 2 2 2 2 6" xfId="3651"/>
    <cellStyle name="60% - Accent5 2 2 2 2 2 2 2 2 2 6" xfId="3652"/>
    <cellStyle name="60% - Accent5 2 2 2 2 2 2 2 2 6" xfId="3653"/>
    <cellStyle name="60% - Accent5 2 2 2 2 2 2 2 7" xfId="3654"/>
    <cellStyle name="60% - Accent5 2 2 2 2 2 2 7" xfId="3655"/>
    <cellStyle name="60% - Accent5 2 2 2 2 2 8" xfId="3656"/>
    <cellStyle name="60% - Accent5 2 2 2 2 8" xfId="3657"/>
    <cellStyle name="60% - Accent5 2 2 2 9" xfId="3658"/>
    <cellStyle name="60% - Accent5 2 2 9" xfId="3659"/>
    <cellStyle name="60% - Accent5 2 13" xfId="3660"/>
    <cellStyle name="60% - Accent5 14" xfId="3661"/>
    <cellStyle name="Accent6 11" xfId="3662"/>
    <cellStyle name="Accent6 2 10" xfId="3663"/>
    <cellStyle name="Accent6 2 2 6" xfId="3664"/>
    <cellStyle name="Accent6 2 2 2 6" xfId="3665"/>
    <cellStyle name="Accent6 2 2 2 2 5" xfId="3666"/>
    <cellStyle name="Accent6 2 2 2 2 2 5" xfId="3667"/>
    <cellStyle name="Accent6 2 2 2 2 2 2 4" xfId="3668"/>
    <cellStyle name="Accent6 2 2 2 2 2 2 2 4" xfId="3669"/>
    <cellStyle name="Accent6 2 2 2 2 2 2 2 2 3" xfId="3670"/>
    <cellStyle name="Accent6 2 2 2 2 2 2 2 2 2 3" xfId="3671"/>
    <cellStyle name="Accent6 2 2 2 2 2 2 2 2 2 2 3" xfId="3672"/>
    <cellStyle name="60% - Accent6 2 2 2 2 2 2 2 2 2 2 10" xfId="3673"/>
    <cellStyle name="60% - Accent6 2 2 2 2 2 2 2 2 2 10" xfId="3674"/>
    <cellStyle name="60% - Accent6 2 2 2 2 2 2 2 2 10" xfId="3675"/>
    <cellStyle name="60% - Accent6 2 2 2 2 2 2 2 11" xfId="3676"/>
    <cellStyle name="60% - Accent6 2 2 2 2 2 2 11" xfId="3677"/>
    <cellStyle name="60% - Accent6 2 2 2 2 2 12" xfId="3678"/>
    <cellStyle name="60% - Accent6 2 2 2 2 12" xfId="3679"/>
    <cellStyle name="60% - Accent6 2 2 2 13" xfId="3680"/>
    <cellStyle name="Accent3 17" xfId="3681"/>
    <cellStyle name="60% - Accent6 2 2 13" xfId="3682"/>
    <cellStyle name="Accent3 2 16" xfId="3683"/>
    <cellStyle name="Accent3 2 2 12" xfId="3684"/>
    <cellStyle name="Accent3 2 2 2 12" xfId="3685"/>
    <cellStyle name="Accent3 2 2 2 2 11" xfId="3686"/>
    <cellStyle name="Accent3 2 2 2 2 2 11" xfId="3687"/>
    <cellStyle name="Accent3 2 2 2 2 2 2 10" xfId="3688"/>
    <cellStyle name="Accent3 2 2 2 2 2 2 2 10" xfId="3689"/>
    <cellStyle name="Accent3 2 2 2 2 2 2 2 2 9" xfId="3690"/>
    <cellStyle name="60% - Accent3 2 2 2 2 2 2 2 2 2 2 4" xfId="3691"/>
    <cellStyle name="60% - Accent3 2 2 2 2 2 2 2 2 2 4" xfId="3692"/>
    <cellStyle name="60% - Accent3 2 2 2 2 2 2 2 2 4" xfId="3693"/>
    <cellStyle name="60% - Accent3 2 2 2 2 2 2 2 5" xfId="3694"/>
    <cellStyle name="60% - Accent3 2 2 2 2 2 2 5" xfId="3695"/>
    <cellStyle name="60% - Accent3 2 2 2 2 2 6" xfId="3696"/>
    <cellStyle name="60% - Accent3 2 2 2 2 6" xfId="3697"/>
    <cellStyle name="60% - Accent3 2 2 2 7" xfId="3698"/>
    <cellStyle name="60% - Accent3 2 2 7" xfId="3699"/>
    <cellStyle name="60% - Accent3 2 11" xfId="3700"/>
    <cellStyle name="Accent3 2 2 2 2 2 2 2 2 2 9" xfId="3701"/>
    <cellStyle name="60% - Accent3 12" xfId="3702"/>
    <cellStyle name="Accent3 2 2 2 2 2 2 2 2 2 2 9" xfId="3703"/>
    <cellStyle name="Accent5 13" xfId="3704"/>
    <cellStyle name="60% - Accent6 2 17" xfId="3705"/>
    <cellStyle name="Accent5 2 12" xfId="3706"/>
    <cellStyle name="Accent5 2 2 8" xfId="3707"/>
    <cellStyle name="Accent5 2 2 2 8" xfId="3708"/>
    <cellStyle name="Accent5 2 2 2 2 7" xfId="3709"/>
    <cellStyle name="Accent5 2 2 2 2 2 7" xfId="3710"/>
    <cellStyle name="Accent5 2 2 2 2 2 2 6" xfId="3711"/>
    <cellStyle name="Accent5 2 2 2 2 2 2 2 6" xfId="3712"/>
    <cellStyle name="Accent5 2 2 2 2 2 2 2 2 5" xfId="3713"/>
    <cellStyle name="Accent5 2 2 2 2 2 2 2 2 2 5" xfId="3714"/>
    <cellStyle name="Accent5 2 2 2 2 2 2 2 2 2 2 5" xfId="3715"/>
    <cellStyle name="60% - Accent6 18" xfId="3716"/>
    <cellStyle name="Accent4 15" xfId="3717"/>
    <cellStyle name="Bad 11" xfId="3718"/>
    <cellStyle name="Accent4 2 14" xfId="3719"/>
    <cellStyle name="Bad 2 10" xfId="3720"/>
    <cellStyle name="Bad 2 2 6" xfId="3721"/>
    <cellStyle name="Bad 2 2 2 6" xfId="3722"/>
    <cellStyle name="Bad 2 2 2 2 5" xfId="3723"/>
    <cellStyle name="Bad 2 2 2 2 2 5" xfId="3724"/>
    <cellStyle name="Bad 2 2 2 2 2 2 4" xfId="3725"/>
    <cellStyle name="Bad 2 2 2 2 2 2 2 4" xfId="3726"/>
    <cellStyle name="Bad 2 2 2 2 2 2 2 2 3" xfId="3727"/>
    <cellStyle name="Bad 2 2 2 2 2 2 2 2 2 3" xfId="3728"/>
    <cellStyle name="Bad 2 2 2 2 2 2 2 2 2 2 3" xfId="3729"/>
    <cellStyle name="Accent4 2 2 10" xfId="3730"/>
    <cellStyle name="Accent4 2 2 2 10" xfId="3731"/>
    <cellStyle name="Accent4 2 2 2 2 9" xfId="3732"/>
    <cellStyle name="Accent4 2 2 2 2 2 9" xfId="3733"/>
    <cellStyle name="Accent4 2 2 2 2 2 2 8" xfId="3734"/>
    <cellStyle name="Accent4 2 2 2 2 2 2 2 8" xfId="3735"/>
    <cellStyle name="60% - Accent4 2 2 2 2 2 2 2 2 2 2 6" xfId="3736"/>
    <cellStyle name="60% - Accent4 2 2 2 2 2 2 2 2 2 6" xfId="3737"/>
    <cellStyle name="60% - Accent4 2 2 2 2 2 2 2 2 6" xfId="3738"/>
    <cellStyle name="60% - Accent4 2 2 2 2 2 2 2 7" xfId="3739"/>
    <cellStyle name="60% - Accent4 2 2 2 2 2 2 7" xfId="3740"/>
    <cellStyle name="60% - Accent4 2 2 2 2 2 8" xfId="3741"/>
    <cellStyle name="60% - Accent4 2 2 2 2 8" xfId="3742"/>
    <cellStyle name="60% - Accent4 2 2 2 9" xfId="3743"/>
    <cellStyle name="60% - Accent4 2 2 9" xfId="3744"/>
    <cellStyle name="60% - Accent4 2 13" xfId="3745"/>
    <cellStyle name="Accent4 2 2 2 2 2 2 2 2 7" xfId="3746"/>
    <cellStyle name="60% - Accent4 14" xfId="3747"/>
    <cellStyle name="Accent4 2 2 2 2 2 2 2 2 2 7" xfId="3748"/>
    <cellStyle name="Accent4 2 2 2 2 2 2 2 2 2 2 7" xfId="3749"/>
    <cellStyle name="60% - Accent5 2 2 2 2 2 2 2 2 2 2 8" xfId="3750"/>
    <cellStyle name="60% - Accent5 2 2 2 2 2 2 2 2 2 8" xfId="3751"/>
    <cellStyle name="60% - Accent5 2 2 2 2 2 2 2 2 8" xfId="3752"/>
    <cellStyle name="60% - Accent5 2 2 2 2 2 2 2 9" xfId="3753"/>
    <cellStyle name="60% - Accent5 2 2 2 2 2 2 9" xfId="3754"/>
    <cellStyle name="60% - Accent5 2 2 2 2 2 10" xfId="3755"/>
    <cellStyle name="60% - Accent5 2 2 2 2 10" xfId="3756"/>
    <cellStyle name="60% - Accent2 2 2 2 2 2 2 2 2 2 2 4" xfId="3757"/>
    <cellStyle name="60% - Accent2 2 2 2 2 2 2 2 2 2 4" xfId="3758"/>
    <cellStyle name="60% - Accent2 2 2 2 2 2 2 2 2 4" xfId="3759"/>
    <cellStyle name="60% - Accent2 2 2 2 2 2 2 2 5" xfId="3760"/>
    <cellStyle name="60% - Accent2 2 2 2 2 2 2 5" xfId="3761"/>
    <cellStyle name="60% - Accent2 2 2 2 2 2 6" xfId="3762"/>
    <cellStyle name="60% - Accent2 2 2 2 2 6" xfId="3763"/>
    <cellStyle name="60% - Accent2 2 2 2 7" xfId="3764"/>
    <cellStyle name="60% - Accent2 2 2 7" xfId="3765"/>
    <cellStyle name="60% - Accent2 2 11" xfId="3766"/>
    <cellStyle name="60% - Accent5 2 2 2 11" xfId="3767"/>
    <cellStyle name="60% - Accent2 12" xfId="3768"/>
    <cellStyle name="60% - Accent5 2 2 11" xfId="3769"/>
    <cellStyle name="60% - Accent5 2 15" xfId="3770"/>
    <cellStyle name="60% - Accent5 16" xfId="3771"/>
    <cellStyle name="Calculation 11" xfId="3772"/>
    <cellStyle name="Calculation 2 10" xfId="3773"/>
    <cellStyle name="Calculation 2 2 6" xfId="3774"/>
    <cellStyle name="Calculation 2 2 2 6" xfId="3775"/>
    <cellStyle name="Calculation 2 2 2 2 5" xfId="3776"/>
    <cellStyle name="Calculation 2 2 2 2 2 5" xfId="3777"/>
    <cellStyle name="Calculation 2 2 2 2 2 2 4" xfId="3778"/>
    <cellStyle name="Calculation 2 2 2 2 2 2 2 4" xfId="3779"/>
    <cellStyle name="Calculation 2 2 2 2 2 2 2 2 3" xfId="3780"/>
    <cellStyle name="Calculation 2 2 2 2 2 2 2 2 2 3" xfId="3781"/>
    <cellStyle name="Calculation 2 2 2 2 2 2 2 2 2 2 3" xfId="3782"/>
    <cellStyle name="Accent6 13" xfId="3783"/>
    <cellStyle name="Accent6 2 12" xfId="3784"/>
    <cellStyle name="Accent6 2 2 8" xfId="3785"/>
    <cellStyle name="Accent6 2 2 2 8" xfId="3786"/>
    <cellStyle name="Accent6 2 2 2 2 7" xfId="3787"/>
    <cellStyle name="Accent6 2 2 2 2 2 7" xfId="3788"/>
    <cellStyle name="Accent6 2 2 2 2 2 2 6" xfId="3789"/>
    <cellStyle name="Accent6 2 2 2 2 2 2 2 6" xfId="3790"/>
    <cellStyle name="Accent6 2 2 2 2 2 2 2 2 5" xfId="3791"/>
    <cellStyle name="Accent6 2 2 2 2 2 2 2 2 2 5" xfId="3792"/>
    <cellStyle name="Accent6 2 2 2 2 2 2 2 2 2 2 5" xfId="3793"/>
    <cellStyle name="Accent3 19" xfId="3794"/>
    <cellStyle name="Accent3 2 18" xfId="3795"/>
    <cellStyle name="Accent3 2 2 14" xfId="3796"/>
    <cellStyle name="Accent3 2 2 2 14" xfId="3797"/>
    <cellStyle name="Accent3 2 2 2 2 13" xfId="3798"/>
    <cellStyle name="Accent3 2 2 2 2 2 13" xfId="3799"/>
    <cellStyle name="Accent3 2 2 2 2 2 2 12" xfId="3800"/>
    <cellStyle name="Accent3 2 2 2 2 2 2 2 12" xfId="3801"/>
    <cellStyle name="Accent3 2 2 2 2 2 2 2 2 11" xfId="3802"/>
    <cellStyle name="60% - Accent3 2 2 2 2 2 2 2 2 2 2 6" xfId="3803"/>
    <cellStyle name="60% - Accent1 2 2 2 2 2 2 2 2 2 2 4" xfId="3804"/>
    <cellStyle name="60% - Accent1 2 2 2 2 2 2 2 2 2 4" xfId="3805"/>
    <cellStyle name="60% - Accent1 2 2 2 2 2 2 2 2 4" xfId="3806"/>
    <cellStyle name="60% - Accent1 2 2 2 2 2 2 2 5" xfId="3807"/>
    <cellStyle name="60% - Accent1 2 2 2 2 2 2 5" xfId="3808"/>
    <cellStyle name="60% - Accent1 2 2 2 2 2 6" xfId="3809"/>
    <cellStyle name="60% - Accent1 2 2 2 2 6" xfId="3810"/>
    <cellStyle name="60% - Accent1 2 2 2 7" xfId="3811"/>
    <cellStyle name="60% - Accent1 2 2 7" xfId="3812"/>
    <cellStyle name="Check Cell 11" xfId="3813"/>
    <cellStyle name="60% - Accent1 2 11" xfId="3814"/>
    <cellStyle name="Check Cell 2 10" xfId="3815"/>
    <cellStyle name="Check Cell 2 2 6" xfId="3816"/>
    <cellStyle name="Check Cell 2 2 2 6" xfId="3817"/>
    <cellStyle name="Check Cell 2 2 2 2 5" xfId="3818"/>
    <cellStyle name="Check Cell 2 2 2 2 2 5" xfId="3819"/>
    <cellStyle name="Check Cell 2 2 2 2 2 2 4" xfId="3820"/>
    <cellStyle name="Check Cell 2 2 2 2 2 2 2 4" xfId="3821"/>
    <cellStyle name="Check Cell 2 2 2 2 2 2 2 2 3" xfId="3822"/>
    <cellStyle name="Check Cell 2 2 2 2 2 2 2 2 2 3" xfId="3823"/>
    <cellStyle name="Check Cell 2 2 2 2 2 2 2 2 2 2 3" xfId="3824"/>
    <cellStyle name="60% - Accent3 2 2 2 2 2 2 2 2 2 6" xfId="3825"/>
    <cellStyle name="60% - Accent1 12" xfId="3826"/>
    <cellStyle name="60% - Accent3 2 2 2 2 2 2 2 2 6" xfId="3827"/>
    <cellStyle name="60% - Accent3 2 2 2 2 2 2 2 7" xfId="3828"/>
    <cellStyle name="60% - Accent3 2 2 2 2 2 2 7" xfId="3829"/>
    <cellStyle name="60% - Accent3 2 2 2 2 2 8" xfId="3830"/>
    <cellStyle name="60% - Accent3 2 2 2 2 8" xfId="3831"/>
    <cellStyle name="60% - Accent3 2 2 2 9" xfId="3832"/>
    <cellStyle name="60% - Accent3 2 2 9" xfId="3833"/>
    <cellStyle name="60% - Accent3 2 13" xfId="3834"/>
    <cellStyle name="Accent3 2 2 2 2 2 2 2 2 2 11" xfId="3835"/>
    <cellStyle name="60% - Accent3 14" xfId="3836"/>
    <cellStyle name="Accent3 2 2 2 2 2 2 2 2 2 2 11" xfId="3837"/>
    <cellStyle name="Accent5 15" xfId="3838"/>
    <cellStyle name="Accent5 2 14" xfId="3839"/>
    <cellStyle name="Accent5 2 2 10" xfId="3840"/>
    <cellStyle name="Accent5 2 2 2 10" xfId="3841"/>
    <cellStyle name="Accent5 2 2 2 2 9" xfId="3842"/>
    <cellStyle name="Accent5 2 2 2 2 2 9" xfId="3843"/>
    <cellStyle name="Accent5 2 2 2 2 2 2 8" xfId="3844"/>
    <cellStyle name="Accent5 2 2 2 2 2 2 2 8" xfId="3845"/>
    <cellStyle name="Accent5 2 2 2 2 2 2 2 2 7" xfId="3846"/>
    <cellStyle name="Accent5 2 2 2 2 2 2 2 2 2 7" xfId="3847"/>
    <cellStyle name="Accent5 2 2 2 2 2 2 2 2 2 2 7" xfId="3848"/>
    <cellStyle name="Bad 13" xfId="3849"/>
    <cellStyle name="Bad 2 12" xfId="3850"/>
    <cellStyle name="Bad 2 2 8" xfId="3851"/>
    <cellStyle name="Bad 2 2 2 8" xfId="3852"/>
    <cellStyle name="Bad 2 2 2 2 7" xfId="3853"/>
    <cellStyle name="Bad 2 2 2 2 2 7" xfId="3854"/>
    <cellStyle name="Bad 2 2 2 2 2 2 6" xfId="3855"/>
    <cellStyle name="Bad 2 2 2 2 2 2 2 6" xfId="3856"/>
    <cellStyle name="Bad 2 2 2 2 2 2 2 2 5" xfId="3857"/>
    <cellStyle name="Bad 2 2 2 2 2 2 2 2 2 5" xfId="3858"/>
    <cellStyle name="Bad 2 2 2 2 2 2 2 2 2 2 5" xfId="3859"/>
    <cellStyle name="Accent4 17" xfId="3860"/>
    <cellStyle name="Accent4 2 16" xfId="3861"/>
    <cellStyle name="Accent4 2 2 12" xfId="3862"/>
    <cellStyle name="Accent4 2 2 2 12" xfId="3863"/>
    <cellStyle name="Accent4 2 2 2 2 11" xfId="3864"/>
    <cellStyle name="Accent4 2 2 2 2 2 11" xfId="3865"/>
    <cellStyle name="Accent4 2 2 2 2 2 2 10" xfId="3866"/>
    <cellStyle name="Accent4 2 2 2 2 2 2 2 10" xfId="3867"/>
    <cellStyle name="Explanatory Text 11" xfId="3868"/>
    <cellStyle name="60% - Accent4 2 2 2 2 2 2 2 2 2 2 8" xfId="3869"/>
    <cellStyle name="Explanatory Text 2 10" xfId="3870"/>
    <cellStyle name="Explanatory Text 2 2 6" xfId="3871"/>
    <cellStyle name="Explanatory Text 2 2 2 6" xfId="3872"/>
    <cellStyle name="Explanatory Text 2 2 2 2 5" xfId="3873"/>
    <cellStyle name="Explanatory Text 2 2 2 2 2 5" xfId="3874"/>
    <cellStyle name="Explanatory Text 2 2 2 2 2 2 4" xfId="3875"/>
    <cellStyle name="Explanatory Text 2 2 2 2 2 2 2 4" xfId="3876"/>
    <cellStyle name="Explanatory Text 2 2 2 2 2 2 2 2 3" xfId="3877"/>
    <cellStyle name="Explanatory Text 2 2 2 2 2 2 2 2 2 3" xfId="3878"/>
    <cellStyle name="Explanatory Text 2 2 2 2 2 2 2 2 2 2 3" xfId="3879"/>
    <cellStyle name="60% - Accent4 2 2 2 2 2 2 2 2 2 8" xfId="3880"/>
    <cellStyle name="40% - Accent6 2 2 2 2 2 2 2 2 2 2 4" xfId="3881"/>
    <cellStyle name="40% - Accent6 2 2 2 2 2 2 2 2 2 4" xfId="3882"/>
    <cellStyle name="40% - Accent6 2 2 2 2 2 2 2 2 4" xfId="3883"/>
    <cellStyle name="40% - Accent6 2 2 2 2 2 2 2 5" xfId="3884"/>
    <cellStyle name="40% - Accent6 2 2 2 2 2 2 5" xfId="3885"/>
    <cellStyle name="40% - Accent6 2 2 2 2 2 6" xfId="3886"/>
    <cellStyle name="40% - Accent6 2 2 2 2 6" xfId="3887"/>
    <cellStyle name="40% - Accent6 2 2 2 7" xfId="3888"/>
    <cellStyle name="40% - Accent6 2 2 7" xfId="3889"/>
    <cellStyle name="40% - Accent6 2 11" xfId="3890"/>
    <cellStyle name="60% - Accent4 2 2 2 2 2 2 2 2 8" xfId="3891"/>
    <cellStyle name="40% - Accent6 12" xfId="3892"/>
    <cellStyle name="60% - Accent4 2 2 2 2 2 2 2 9" xfId="3893"/>
    <cellStyle name="60% - Accent4 2 2 2 2 2 2 9" xfId="3894"/>
    <cellStyle name="60% - Accent4 2 2 2 2 2 10" xfId="3895"/>
    <cellStyle name="60% - Accent4 2 2 2 2 10" xfId="3896"/>
    <cellStyle name="60% - Accent4 2 2 2 11" xfId="3897"/>
    <cellStyle name="60% - Accent4 2 2 11" xfId="3898"/>
    <cellStyle name="60% - Accent4 2 15" xfId="3899"/>
    <cellStyle name="Accent4 2 2 2 2 2 2 2 2 9" xfId="3900"/>
    <cellStyle name="60% - Accent4 16" xfId="3901"/>
    <cellStyle name="Accent4 2 2 2 2 2 2 2 2 2 9" xfId="3902"/>
    <cellStyle name="Accent4 2 2 2 2 2 2 2 2 2 2 9" xfId="3903"/>
    <cellStyle name="60% - Accent5 2 2 2 2 2 2 2 2 2 2 10" xfId="3904"/>
    <cellStyle name="60% - Accent5 2 2 2 2 2 2 2 2 2 10" xfId="3905"/>
    <cellStyle name="60% - Accent5 2 2 2 2 2 2 2 2 10" xfId="3906"/>
    <cellStyle name="60% - Accent5 2 2 2 2 2 2 2 11" xfId="3907"/>
    <cellStyle name="60% - Accent5 2 2 2 2 2 2 11" xfId="3908"/>
    <cellStyle name="60% - Accent5 2 2 2 2 2 12" xfId="3909"/>
    <cellStyle name="60% - Accent5 2 2 2 2 12" xfId="3910"/>
    <cellStyle name="60% - Accent2 2 2 2 2 2 2 2 2 2 2 6" xfId="3911"/>
    <cellStyle name="60% - Accent2 2 2 2 2 2 2 2 2 2 6" xfId="3912"/>
    <cellStyle name="60% - Accent2 2 2 2 2 2 2 2 2 6" xfId="3913"/>
    <cellStyle name="60% - Accent2 2 2 2 2 2 2 2 7" xfId="3914"/>
    <cellStyle name="60% - Accent2 2 2 2 2 2 2 7" xfId="3915"/>
    <cellStyle name="60% - Accent2 2 2 2 2 2 8" xfId="3916"/>
    <cellStyle name="60% - Accent2 2 2 2 2 8" xfId="3917"/>
    <cellStyle name="60% - Accent2 2 2 2 9" xfId="3918"/>
    <cellStyle name="60% - Accent2 2 2 9" xfId="3919"/>
    <cellStyle name="60% - Accent2 2 13" xfId="3920"/>
    <cellStyle name="60% - Accent5 2 2 2 13" xfId="3921"/>
    <cellStyle name="60% - Accent2 14" xfId="3922"/>
    <cellStyle name="60% - Accent5 2 2 13" xfId="3923"/>
    <cellStyle name="60% - Accent5 2 17" xfId="3924"/>
    <cellStyle name="Calculation 13" xfId="3925"/>
    <cellStyle name="Good 11" xfId="3926"/>
    <cellStyle name="Calculation 2 12" xfId="3927"/>
    <cellStyle name="Good 2 10" xfId="3928"/>
    <cellStyle name="Good 2 2 6" xfId="3929"/>
    <cellStyle name="Good 2 2 2 6" xfId="3930"/>
    <cellStyle name="Good 2 2 2 2 5" xfId="3931"/>
    <cellStyle name="Good 2 2 2 2 2 5" xfId="3932"/>
    <cellStyle name="Good 2 2 2 2 2 2 4" xfId="3933"/>
    <cellStyle name="Good 2 2 2 2 2 2 2 4" xfId="3934"/>
    <cellStyle name="Good 2 2 2 2 2 2 2 2 3" xfId="3935"/>
    <cellStyle name="Good 2 2 2 2 2 2 2 2 2 3" xfId="3936"/>
    <cellStyle name="Good 2 2 2 2 2 2 2 2 2 2 3" xfId="3937"/>
    <cellStyle name="Calculation 2 2 8" xfId="3938"/>
    <cellStyle name="Calculation 2 2 2 8" xfId="3939"/>
    <cellStyle name="Calculation 2 2 2 2 7" xfId="3940"/>
    <cellStyle name="Calculation 2 2 2 2 2 7" xfId="3941"/>
    <cellStyle name="Calculation 2 2 2 2 2 2 6" xfId="3942"/>
    <cellStyle name="Calculation 2 2 2 2 2 2 2 6" xfId="3943"/>
    <cellStyle name="Calculation 2 2 2 2 2 2 2 2 5" xfId="3944"/>
    <cellStyle name="Calculation 2 2 2 2 2 2 2 2 2 5" xfId="3945"/>
    <cellStyle name="Calculation 2 2 2 2 2 2 2 2 2 2 5" xfId="3946"/>
    <cellStyle name="60% - Accent5 18" xfId="3947"/>
    <cellStyle name="40% - Accent5 2 2 2 2 2 2 2 2 2 2 4" xfId="3948"/>
    <cellStyle name="40% - Accent5 2 2 2 2 2 2 2 2 2 4" xfId="3949"/>
    <cellStyle name="40% - Accent5 2 2 2 2 2 2 2 2 4" xfId="3950"/>
    <cellStyle name="40% - Accent5 2 2 2 2 2 2 2 5" xfId="3951"/>
    <cellStyle name="40% - Accent5 2 2 2 2 2 2 5" xfId="3952"/>
    <cellStyle name="40% - Accent5 2 2 2 2 2 6" xfId="3953"/>
    <cellStyle name="40% - Accent5 2 2 2 2 6" xfId="3954"/>
    <cellStyle name="40% - Accent5 2 2 2 7" xfId="3955"/>
    <cellStyle name="40% - Accent5 2 2 7" xfId="3956"/>
    <cellStyle name="40% - Accent5 2 11" xfId="3957"/>
    <cellStyle name="40% - Accent5 12" xfId="3958"/>
    <cellStyle name="Accent6 15" xfId="3959"/>
    <cellStyle name="Accent6 2 14" xfId="3960"/>
    <cellStyle name="Accent6 2 2 10" xfId="3961"/>
    <cellStyle name="Accent6 2 2 2 10" xfId="3962"/>
    <cellStyle name="Accent6 2 2 2 2 9" xfId="3963"/>
    <cellStyle name="Accent6 2 2 2 2 2 9" xfId="3964"/>
    <cellStyle name="Accent6 2 2 2 2 2 2 8" xfId="3965"/>
    <cellStyle name="Accent6 2 2 2 2 2 2 2 8" xfId="3966"/>
    <cellStyle name="Accent6 2 2 2 2 2 2 2 2 7" xfId="3967"/>
    <cellStyle name="Accent6 2 2 2 2 2 2 2 2 2 7" xfId="3968"/>
    <cellStyle name="Accent6 2 2 2 2 2 2 2 2 2 2 7" xfId="3969"/>
    <cellStyle name="Heading 1 11" xfId="3970"/>
    <cellStyle name="Heading 1 2 10" xfId="3971"/>
    <cellStyle name="Heading 1 2 2 6" xfId="3972"/>
    <cellStyle name="Heading 1 2 2 2 6" xfId="3973"/>
    <cellStyle name="Heading 1 2 2 2 2 5" xfId="3974"/>
    <cellStyle name="Heading 1 2 2 2 2 2 5" xfId="3975"/>
    <cellStyle name="Heading 1 2 2 2 2 2 2 4" xfId="3976"/>
    <cellStyle name="Heading 1 2 2 2 2 2 2 2 4" xfId="3977"/>
    <cellStyle name="Heading 1 2 2 2 2 2 2 2 2 3" xfId="3978"/>
    <cellStyle name="Heading 1 2 2 2 2 2 2 2 2 2 3" xfId="3979"/>
    <cellStyle name="Heading 1 2 2 2 2 2 2 2 2 2 2 3" xfId="3980"/>
    <cellStyle name="60% - Accent3 2 2 2 2 2 2 2 2 2 2 8" xfId="3981"/>
    <cellStyle name="60% - Accent1 2 2 2 2 2 2 2 2 2 2 6" xfId="3982"/>
    <cellStyle name="60% - Accent1 2 2 2 2 2 2 2 2 2 6" xfId="3983"/>
    <cellStyle name="60% - Accent1 2 2 2 2 2 2 2 2 6" xfId="3984"/>
    <cellStyle name="Check Cell 13" xfId="3985"/>
    <cellStyle name="60% - Accent1 2 2 2 2 2 2 2 7" xfId="3986"/>
    <cellStyle name="Check Cell 2 12" xfId="3987"/>
    <cellStyle name="Check Cell 2 2 8" xfId="3988"/>
    <cellStyle name="40% - Accent4 2 2 2 2 2 2 2 2 2 2 4" xfId="3989"/>
    <cellStyle name="40% - Accent4 2 2 2 2 2 2 2 2 2 4" xfId="3990"/>
    <cellStyle name="40% - Accent4 2 2 2 2 2 2 2 2 4" xfId="3991"/>
    <cellStyle name="40% - Accent4 2 2 2 2 2 2 2 5" xfId="3992"/>
    <cellStyle name="40% - Accent4 2 2 2 2 2 2 5" xfId="3993"/>
    <cellStyle name="40% - Accent4 2 2 2 2 2 6" xfId="3994"/>
    <cellStyle name="40% - Accent4 2 2 2 2 6" xfId="3995"/>
    <cellStyle name="40% - Accent4 2 2 2 7" xfId="3996"/>
    <cellStyle name="40% - Accent4 2 2 7" xfId="3997"/>
    <cellStyle name="40% - Accent4 2 11" xfId="3998"/>
    <cellStyle name="Check Cell 2 2 2 8" xfId="3999"/>
    <cellStyle name="40% - Accent4 12" xfId="4000"/>
    <cellStyle name="Check Cell 2 2 2 2 7" xfId="4001"/>
    <cellStyle name="Check Cell 2 2 2 2 2 7" xfId="4002"/>
    <cellStyle name="Check Cell 2 2 2 2 2 2 6" xfId="4003"/>
    <cellStyle name="Check Cell 2 2 2 2 2 2 2 6" xfId="4004"/>
    <cellStyle name="Check Cell 2 2 2 2 2 2 2 2 5" xfId="4005"/>
    <cellStyle name="Check Cell 2 2 2 2 2 2 2 2 2 5" xfId="4006"/>
    <cellStyle name="Check Cell 2 2 2 2 2 2 2 2 2 2 5" xfId="4007"/>
    <cellStyle name="60% - Accent1 2 2 2 2 2 2 7" xfId="4008"/>
    <cellStyle name="60% - Accent1 2 2 2 2 2 8" xfId="4009"/>
    <cellStyle name="60% - Accent1 2 2 2 2 8" xfId="4010"/>
    <cellStyle name="60% - Accent1 2 2 2 9" xfId="4011"/>
    <cellStyle name="60% - Accent1 2 2 9" xfId="4012"/>
    <cellStyle name="60% - Accent1 2 13" xfId="4013"/>
    <cellStyle name="60% - Accent3 2 2 2 2 2 2 2 2 2 8" xfId="4014"/>
    <cellStyle name="Heading 2 11" xfId="4015"/>
    <cellStyle name="60% - Accent1 14" xfId="4016"/>
    <cellStyle name="Heading 2 2 10" xfId="4017"/>
    <cellStyle name="Heading 2 2 2 6" xfId="4018"/>
    <cellStyle name="Heading 2 2 2 2 6" xfId="4019"/>
    <cellStyle name="Heading 2 2 2 2 2 5" xfId="4020"/>
    <cellStyle name="Heading 2 2 2 2 2 2 5" xfId="4021"/>
    <cellStyle name="Heading 2 2 2 2 2 2 2 4" xfId="4022"/>
    <cellStyle name="Heading 2 2 2 2 2 2 2 2 4" xfId="4023"/>
    <cellStyle name="Heading 2 2 2 2 2 2 2 2 2 3" xfId="4024"/>
    <cellStyle name="Heading 2 2 2 2 2 2 2 2 2 2 3" xfId="4025"/>
    <cellStyle name="Heading 2 2 2 2 2 2 2 2 2 2 2 3" xfId="4026"/>
    <cellStyle name="60% - Accent3 2 2 2 2 2 2 2 2 8" xfId="4027"/>
    <cellStyle name="60% - Accent3 2 2 2 2 2 2 2 9" xfId="4028"/>
    <cellStyle name="60% - Accent3 2 2 2 2 2 2 9" xfId="4029"/>
    <cellStyle name="60% - Accent3 2 2 2 2 2 10" xfId="4030"/>
    <cellStyle name="60% - Accent3 2 2 2 2 10" xfId="4031"/>
    <cellStyle name="60% - Accent3 2 2 2 11" xfId="4032"/>
    <cellStyle name="60% - Accent3 2 2 11" xfId="4033"/>
    <cellStyle name="60% - Accent3 2 15" xfId="4034"/>
    <cellStyle name="60% - Accent3 16" xfId="4035"/>
    <cellStyle name="Accent5 17" xfId="4036"/>
    <cellStyle name="Accent5 2 16" xfId="4037"/>
    <cellStyle name="Accent5 2 2 12" xfId="4038"/>
    <cellStyle name="Accent5 2 2 2 12" xfId="4039"/>
    <cellStyle name="Accent5 2 2 2 2 11" xfId="4040"/>
    <cellStyle name="Accent5 2 2 2 2 2 11" xfId="4041"/>
    <cellStyle name="Accent5 2 2 2 2 2 2 10" xfId="4042"/>
    <cellStyle name="Accent5 2 2 2 2 2 2 2 10" xfId="4043"/>
    <cellStyle name="Accent5 2 2 2 2 2 2 2 2 9" xfId="4044"/>
    <cellStyle name="Accent5 2 2 2 2 2 2 2 2 2 9" xfId="4045"/>
    <cellStyle name="Accent5 2 2 2 2 2 2 2 2 2 2 9" xfId="4046"/>
    <cellStyle name="Bad 15" xfId="4047"/>
    <cellStyle name="Bad 2 14" xfId="4048"/>
    <cellStyle name="Bad 2 2 10" xfId="4049"/>
    <cellStyle name="Bad 2 2 2 10" xfId="4050"/>
    <cellStyle name="Bad 2 2 2 2 9" xfId="4051"/>
    <cellStyle name="Bad 2 2 2 2 2 9" xfId="4052"/>
    <cellStyle name="Bad 2 2 2 2 2 2 8" xfId="4053"/>
    <cellStyle name="Bad 2 2 2 2 2 2 2 8" xfId="4054"/>
    <cellStyle name="Bad 2 2 2 2 2 2 2 2 7" xfId="4055"/>
    <cellStyle name="Bad 2 2 2 2 2 2 2 2 2 7" xfId="4056"/>
    <cellStyle name="40% - Accent3 2 2 2 2 2 2 2 2 2 2 4" xfId="4057"/>
    <cellStyle name="40% - Accent3 2 2 2 2 2 2 2 2 2 4" xfId="4058"/>
    <cellStyle name="40% - Accent3 2 2 2 2 2 2 2 2 4" xfId="4059"/>
    <cellStyle name="40% - Accent3 2 2 2 2 2 2 2 5" xfId="4060"/>
    <cellStyle name="40% - Accent3 2 2 2 2 2 2 5" xfId="4061"/>
    <cellStyle name="40% - Accent3 2 2 2 2 2 6" xfId="4062"/>
    <cellStyle name="40% - Accent3 2 2 2 2 6" xfId="4063"/>
    <cellStyle name="40% - Accent3 2 2 2 7" xfId="4064"/>
    <cellStyle name="40% - Accent3 2 2 7" xfId="4065"/>
    <cellStyle name="40% - Accent3 2 11" xfId="4066"/>
    <cellStyle name="Bad 2 2 2 2 2 2 2 2 2 2 7" xfId="4067"/>
    <cellStyle name="40% - Accent3 12" xfId="4068"/>
    <cellStyle name="Heading 3 11" xfId="4069"/>
    <cellStyle name="Accent4 19" xfId="4070"/>
    <cellStyle name="Heading 3 2 10" xfId="4071"/>
    <cellStyle name="Heading 3 2 2 6" xfId="4072"/>
    <cellStyle name="Heading 3 2 2 2 6" xfId="4073"/>
    <cellStyle name="Heading 3 2 2 2 2 5" xfId="4074"/>
    <cellStyle name="Heading 3 2 2 2 2 2 5" xfId="4075"/>
    <cellStyle name="Heading 3 2 2 2 2 2 2 4" xfId="4076"/>
    <cellStyle name="Heading 3 2 2 2 2 2 2 2 4" xfId="4077"/>
    <cellStyle name="Heading 3 2 2 2 2 2 2 2 2 3" xfId="4078"/>
    <cellStyle name="Heading 3 2 2 2 2 2 2 2 2 2 3" xfId="4079"/>
    <cellStyle name="Heading 3 2 2 2 2 2 2 2 2 2 2 3" xfId="4080"/>
    <cellStyle name="Accent4 2 18" xfId="4081"/>
    <cellStyle name="Explanatory Text 13" xfId="4082"/>
    <cellStyle name="Accent4 2 2 14" xfId="4083"/>
    <cellStyle name="Explanatory Text 2 12" xfId="4084"/>
    <cellStyle name="Explanatory Text 2 2 8" xfId="4085"/>
    <cellStyle name="Explanatory Text 2 2 2 8" xfId="4086"/>
    <cellStyle name="Explanatory Text 2 2 2 2 7" xfId="4087"/>
    <cellStyle name="Explanatory Text 2 2 2 2 2 7" xfId="4088"/>
    <cellStyle name="Explanatory Text 2 2 2 2 2 2 6" xfId="4089"/>
    <cellStyle name="Explanatory Text 2 2 2 2 2 2 2 6" xfId="4090"/>
    <cellStyle name="Explanatory Text 2 2 2 2 2 2 2 2 5" xfId="4091"/>
    <cellStyle name="Explanatory Text 2 2 2 2 2 2 2 2 2 5" xfId="4092"/>
    <cellStyle name="Explanatory Text 2 2 2 2 2 2 2 2 2 2 5" xfId="4093"/>
    <cellStyle name="Accent4 2 2 2 14" xfId="4094"/>
    <cellStyle name="Accent4 2 2 2 2 13" xfId="4095"/>
    <cellStyle name="Accent4 2 2 2 2 2 13" xfId="4096"/>
    <cellStyle name="Accent4 2 2 2 2 2 2 12" xfId="4097"/>
    <cellStyle name="Accent4 2 2 2 2 2 2 2 12" xfId="4098"/>
    <cellStyle name="60% - Accent4 2 2 2 2 2 2 2 2 2 2 10" xfId="4099"/>
    <cellStyle name="60% - Accent4 2 2 2 2 2 2 2 2 2 10" xfId="4100"/>
    <cellStyle name="40% - Accent6 2 2 2 2 2 2 2 2 2 2 6" xfId="4101"/>
    <cellStyle name="40% - Accent6 2 2 2 2 2 2 2 2 2 6" xfId="4102"/>
    <cellStyle name="40% - Accent6 2 2 2 2 2 2 2 2 6" xfId="4103"/>
    <cellStyle name="40% - Accent6 2 2 2 2 2 2 2 7" xfId="4104"/>
    <cellStyle name="40% - Accent6 2 2 2 2 2 2 7" xfId="4105"/>
    <cellStyle name="40% - Accent6 2 2 2 2 2 8" xfId="4106"/>
    <cellStyle name="40% - Accent6 2 2 2 2 8" xfId="4107"/>
    <cellStyle name="40% - Accent6 2 2 2 9" xfId="4108"/>
    <cellStyle name="40% - Accent6 2 2 9" xfId="4109"/>
    <cellStyle name="40% - Accent6 2 13" xfId="4110"/>
    <cellStyle name="60% - Accent4 2 2 2 2 2 2 2 2 10" xfId="4111"/>
    <cellStyle name="40% - Accent6 14" xfId="4112"/>
    <cellStyle name="60% - Accent4 2 2 2 2 2 2 2 11" xfId="4113"/>
    <cellStyle name="60% - Accent4 2 2 2 2 2 2 11" xfId="4114"/>
    <cellStyle name="60% - Accent4 2 2 2 2 2 12" xfId="4115"/>
    <cellStyle name="60% - Accent4 2 2 2 2 12" xfId="4116"/>
    <cellStyle name="60% - Accent4 2 2 2 13" xfId="4117"/>
    <cellStyle name="60% - Accent4 2 2 13" xfId="4118"/>
    <cellStyle name="60% - Accent4 2 17" xfId="4119"/>
    <cellStyle name="Accent4 2 2 2 2 2 2 2 2 11" xfId="4120"/>
    <cellStyle name="60% - Accent4 18" xfId="4121"/>
    <cellStyle name="Accent4 2 2 2 2 2 2 2 2 2 11" xfId="4122"/>
    <cellStyle name="Accent4 2 2 2 2 2 2 2 2 2 2 11" xfId="4123"/>
    <cellStyle name="40% - Accent2 2 2 2 2 2 2 2 2 2 2 4" xfId="4124"/>
    <cellStyle name="40% - Accent2 2 2 2 2 2 2 2 2 2 4" xfId="4125"/>
    <cellStyle name="40% - Accent2 2 2 2 2 2 2 2 2 4" xfId="4126"/>
    <cellStyle name="40% - Accent2 2 2 2 2 2 2 2 5" xfId="4127"/>
    <cellStyle name="Heading 4 11" xfId="4128"/>
    <cellStyle name="40% - Accent2 2 2 2 2 2 2 5" xfId="4129"/>
    <cellStyle name="Heading 4 2 10" xfId="4130"/>
    <cellStyle name="Heading 4 2 2 6" xfId="4131"/>
    <cellStyle name="Heading 4 2 2 2 6" xfId="4132"/>
    <cellStyle name="Heading 4 2 2 2 2 5" xfId="4133"/>
    <cellStyle name="Heading 4 2 2 2 2 2 5" xfId="4134"/>
    <cellStyle name="Heading 4 2 2 2 2 2 2 4" xfId="4135"/>
    <cellStyle name="Heading 4 2 2 2 2 2 2 2 4" xfId="4136"/>
    <cellStyle name="Heading 4 2 2 2 2 2 2 2 2 3" xfId="4137"/>
    <cellStyle name="Heading 4 2 2 2 2 2 2 2 2 2 3" xfId="4138"/>
    <cellStyle name="Heading 4 2 2 2 2 2 2 2 2 2 2 3" xfId="4139"/>
    <cellStyle name="40% - Accent2 2 2 2 2 2 6" xfId="4140"/>
    <cellStyle name="40% - Accent2 2 2 2 2 6" xfId="4141"/>
    <cellStyle name="40% - Accent2 2 2 2 7" xfId="4142"/>
    <cellStyle name="40% - Accent2 2 2 7" xfId="4143"/>
    <cellStyle name="40% - Accent2 2 11" xfId="4144"/>
    <cellStyle name="40% - Accent2 12" xfId="4145"/>
    <cellStyle name="60% - Accent2 2 2 2 2 2 2 2 2 2 2 8" xfId="4146"/>
    <cellStyle name="60% - Accent2 2 2 2 2 2 2 2 2 2 8" xfId="4147"/>
    <cellStyle name="60% - Accent2 2 2 2 2 2 2 2 2 8" xfId="4148"/>
    <cellStyle name="60% - Accent2 2 2 2 2 2 2 2 9" xfId="4149"/>
    <cellStyle name="60% - Accent2 2 2 2 2 2 2 9" xfId="4150"/>
    <cellStyle name="60% - Accent2 2 2 2 2 2 10" xfId="4151"/>
    <cellStyle name="60% - Accent2 2 2 2 2 10" xfId="4152"/>
    <cellStyle name="60% - Accent2 2 2 2 11" xfId="4153"/>
    <cellStyle name="60% - Accent2 2 2 11" xfId="4154"/>
    <cellStyle name="60% - Accent2 2 15" xfId="4155"/>
    <cellStyle name="Good 13" xfId="4156"/>
    <cellStyle name="Good 2 12" xfId="4157"/>
    <cellStyle name="Good 2 2 8" xfId="4158"/>
    <cellStyle name="Good 2 2 2 8" xfId="4159"/>
    <cellStyle name="Good 2 2 2 2 7" xfId="4160"/>
    <cellStyle name="Good 2 2 2 2 2 7" xfId="4161"/>
    <cellStyle name="Good 2 2 2 2 2 2 6" xfId="4162"/>
    <cellStyle name="Good 2 2 2 2 2 2 2 6" xfId="4163"/>
    <cellStyle name="Good 2 2 2 2 2 2 2 2 5" xfId="4164"/>
    <cellStyle name="Good 2 2 2 2 2 2 2 2 2 5" xfId="4165"/>
    <cellStyle name="Good 2 2 2 2 2 2 2 2 2 2 5" xfId="4166"/>
    <cellStyle name="60% - Accent2 16" xfId="4167"/>
    <cellStyle name="Calculation 15" xfId="4168"/>
    <cellStyle name="Calculation 2 14" xfId="4169"/>
    <cellStyle name="Calculation 2 2 10" xfId="4170"/>
    <cellStyle name="Calculation 2 2 2 10" xfId="4171"/>
    <cellStyle name="Calculation 2 2 2 2 9" xfId="4172"/>
    <cellStyle name="Calculation 2 2 2 2 2 9" xfId="4173"/>
    <cellStyle name="Calculation 2 2 2 2 2 2 8" xfId="4174"/>
    <cellStyle name="Calculation 2 2 2 2 2 2 2 8" xfId="4175"/>
    <cellStyle name="Calculation 2 2 2 2 2 2 2 2 7" xfId="4176"/>
    <cellStyle name="Input 11" xfId="4177"/>
    <cellStyle name="Calculation 2 2 2 2 2 2 2 2 2 7" xfId="4178"/>
    <cellStyle name="Input 2 10" xfId="4179"/>
    <cellStyle name="Input 2 2 6" xfId="4180"/>
    <cellStyle name="Input 2 2 2 6" xfId="4181"/>
    <cellStyle name="Input 2 2 2 2 5" xfId="4182"/>
    <cellStyle name="Input 2 2 2 2 2 5" xfId="4183"/>
    <cellStyle name="Input 2 2 2 2 2 2 4" xfId="4184"/>
    <cellStyle name="Input 2 2 2 2 2 2 2 4" xfId="4185"/>
    <cellStyle name="Input 2 2 2 2 2 2 2 2 3" xfId="4186"/>
    <cellStyle name="Input 2 2 2 2 2 2 2 2 2 3" xfId="4187"/>
    <cellStyle name="Input 2 2 2 2 2 2 2 2 2 2 3" xfId="4188"/>
    <cellStyle name="Calculation 2 2 2 2 2 2 2 2 2 2 7" xfId="4189"/>
    <cellStyle name="40% - Accent5 2 2 2 2 2 2 2 2 2 2 6" xfId="4190"/>
    <cellStyle name="40% - Accent5 2 2 2 2 2 2 2 2 2 6" xfId="4191"/>
    <cellStyle name="40% - Accent1 2 2 2 2 2 2 2 2 2 2 4" xfId="4192"/>
    <cellStyle name="40% - Accent1 2 2 2 2 2 2 2 2 2 4" xfId="4193"/>
    <cellStyle name="40% - Accent1 2 2 2 2 2 2 2 2 4" xfId="4194"/>
    <cellStyle name="40% - Accent1 2 2 2 2 2 2 2 5" xfId="4195"/>
    <cellStyle name="40% - Accent1 2 2 2 2 2 2 5" xfId="4196"/>
    <cellStyle name="40% - Accent1 2 2 2 2 2 6" xfId="4197"/>
    <cellStyle name="40% - Accent1 2 2 2 2 6" xfId="4198"/>
    <cellStyle name="40% - Accent1 2 2 2 7" xfId="4199"/>
    <cellStyle name="40% - Accent1 2 2 7" xfId="4200"/>
    <cellStyle name="40% - Accent1 2 11" xfId="4201"/>
    <cellStyle name="40% - Accent5 2 2 2 2 2 2 2 2 6" xfId="4202"/>
    <cellStyle name="40% - Accent1 12" xfId="4203"/>
    <cellStyle name="40% - Accent5 2 2 2 2 2 2 2 7" xfId="4204"/>
    <cellStyle name="40% - Accent5 2 2 2 2 2 2 7" xfId="4205"/>
    <cellStyle name="40% - Accent5 2 2 2 2 2 8" xfId="4206"/>
    <cellStyle name="40% - Accent5 2 2 2 2 8" xfId="4207"/>
    <cellStyle name="40% - Accent5 2 2 2 9" xfId="4208"/>
    <cellStyle name="40% - Accent5 2 2 9" xfId="4209"/>
    <cellStyle name="40% - Accent5 2 13" xfId="4210"/>
    <cellStyle name="40% - Accent5 14" xfId="4211"/>
    <cellStyle name="Accent6 17" xfId="4212"/>
    <cellStyle name="Accent6 2 16" xfId="4213"/>
    <cellStyle name="Accent6 2 2 12" xfId="4214"/>
    <cellStyle name="Accent6 2 2 2 12" xfId="4215"/>
    <cellStyle name="Accent6 2 2 2 2 11" xfId="4216"/>
    <cellStyle name="Accent6 2 2 2 2 2 11" xfId="4217"/>
    <cellStyle name="Accent6 2 2 2 2 2 2 10" xfId="4218"/>
    <cellStyle name="Accent6 2 2 2 2 2 2 2 10" xfId="4219"/>
    <cellStyle name="Accent6 2 2 2 2 2 2 2 2 9" xfId="4220"/>
    <cellStyle name="Accent6 2 2 2 2 2 2 2 2 2 9" xfId="4221"/>
    <cellStyle name="Accent6 2 2 2 2 2 2 2 2 2 2 9" xfId="4222"/>
    <cellStyle name="Heading 1 13" xfId="4223"/>
    <cellStyle name="Heading 1 2 12" xfId="4224"/>
    <cellStyle name="Linked Cell 11" xfId="4225"/>
    <cellStyle name="Heading 1 2 2 8" xfId="4226"/>
    <cellStyle name="Linked Cell 2 10" xfId="4227"/>
    <cellStyle name="Linked Cell 2 2 6" xfId="4228"/>
    <cellStyle name="Linked Cell 2 2 2 6" xfId="4229"/>
    <cellStyle name="Linked Cell 2 2 2 2 5" xfId="4230"/>
    <cellStyle name="Linked Cell 2 2 2 2 2 5" xfId="4231"/>
    <cellStyle name="Linked Cell 2 2 2 2 2 2 4" xfId="4232"/>
    <cellStyle name="Linked Cell 2 2 2 2 2 2 2 4" xfId="4233"/>
    <cellStyle name="Linked Cell 2 2 2 2 2 2 2 2 3" xfId="4234"/>
    <cellStyle name="Linked Cell 2 2 2 2 2 2 2 2 2 3" xfId="4235"/>
    <cellStyle name="Linked Cell 2 2 2 2 2 2 2 2 2 2 3" xfId="4236"/>
    <cellStyle name="Heading 1 2 2 2 8" xfId="4237"/>
    <cellStyle name="Heading 1 2 2 2 2 7" xfId="4238"/>
    <cellStyle name="Heading 1 2 2 2 2 2 7" xfId="4239"/>
    <cellStyle name="Heading 1 2 2 2 2 2 2 6" xfId="4240"/>
    <cellStyle name="Heading 1 2 2 2 2 2 2 2 6" xfId="4241"/>
    <cellStyle name="Heading 1 2 2 2 2 2 2 2 2 5" xfId="4242"/>
    <cellStyle name="Heading 1 2 2 2 2 2 2 2 2 2 5" xfId="4243"/>
    <cellStyle name="Heading 1 2 2 2 2 2 2 2 2 2 2 5" xfId="4244"/>
    <cellStyle name="20% - Accent6 2 2 2 2 2 2 2 2 2 2 4" xfId="4245"/>
    <cellStyle name="20% - Accent6 2 2 2 2 2 2 2 2 2 4" xfId="4246"/>
    <cellStyle name="20% - Accent6 2 2 2 2 2 2 2 2 4" xfId="4247"/>
    <cellStyle name="20% - Accent6 2 2 2 2 2 2 2 5" xfId="4248"/>
    <cellStyle name="20% - Accent6 2 2 2 2 2 2 5" xfId="4249"/>
    <cellStyle name="20% - Accent6 2 2 2 2 2 6" xfId="4250"/>
    <cellStyle name="20% - Accent6 2 2 2 2 6" xfId="4251"/>
    <cellStyle name="20% - Accent6 2 2 2 7" xfId="4252"/>
    <cellStyle name="20% - Accent6 2 2 7" xfId="4253"/>
    <cellStyle name="20% - Accent6 2 11" xfId="4254"/>
    <cellStyle name="20% - Accent6 12" xfId="4255"/>
    <cellStyle name="60% - Accent3 2 2 2 2 2 2 2 2 2 2 10" xfId="4256"/>
    <cellStyle name="60% - Accent1 2 2 2 2 2 2 2 2 2 2 8" xfId="4257"/>
    <cellStyle name="60% - Accent1 2 2 2 2 2 2 2 2 2 8" xfId="4258"/>
    <cellStyle name="60% - Accent1 2 2 2 2 2 2 2 2 8" xfId="4259"/>
    <cellStyle name="Check Cell 15" xfId="4260"/>
    <cellStyle name="60% - Accent1 2 2 2 2 2 2 2 9" xfId="4261"/>
    <cellStyle name="Check Cell 2 14" xfId="4262"/>
    <cellStyle name="Check Cell 2 2 10" xfId="4263"/>
    <cellStyle name="40% - Accent4 2 2 2 2 2 2 2 2 2 2 6" xfId="4264"/>
    <cellStyle name="Neutral 11" xfId="4265"/>
    <cellStyle name="40% - Accent4 2 2 2 2 2 2 2 2 2 6" xfId="4266"/>
    <cellStyle name="Neutral 2 10" xfId="4267"/>
    <cellStyle name="Neutral 2 2 6" xfId="4268"/>
    <cellStyle name="Neutral 2 2 2 6" xfId="4269"/>
    <cellStyle name="Neutral 2 2 2 2 5" xfId="4270"/>
    <cellStyle name="Neutral 2 2 2 2 2 5" xfId="4271"/>
    <cellStyle name="Neutral 2 2 2 2 2 2 4" xfId="4272"/>
    <cellStyle name="Neutral 2 2 2 2 2 2 2 4" xfId="4273"/>
    <cellStyle name="Neutral 2 2 2 2 2 2 2 2 3" xfId="4274"/>
    <cellStyle name="Neutral 2 2 2 2 2 2 2 2 2 3" xfId="4275"/>
    <cellStyle name="Neutral 2 2 2 2 2 2 2 2 2 2 3" xfId="4276"/>
    <cellStyle name="40% - Accent4 2 2 2 2 2 2 2 2 6" xfId="4277"/>
    <cellStyle name="40% - Accent4 2 2 2 2 2 2 2 7" xfId="4278"/>
    <cellStyle name="40% - Accent4 2 2 2 2 2 2 7" xfId="4279"/>
    <cellStyle name="40% - Accent4 2 2 2 2 2 8" xfId="4280"/>
    <cellStyle name="40% - Accent4 2 2 2 2 8" xfId="4281"/>
    <cellStyle name="40% - Accent4 2 2 2 9" xfId="4282"/>
    <cellStyle name="40% - Accent4 2 2 9" xfId="4283"/>
    <cellStyle name="40% - Accent4 2 13" xfId="4284"/>
    <cellStyle name="Check Cell 2 2 2 10" xfId="4285"/>
    <cellStyle name="40% - Accent4 14" xfId="4286"/>
    <cellStyle name="Check Cell 2 2 2 2 9" xfId="4287"/>
    <cellStyle name="Check Cell 2 2 2 2 2 9" xfId="4288"/>
    <cellStyle name="Check Cell 2 2 2 2 2 2 8" xfId="4289"/>
    <cellStyle name="Check Cell 2 2 2 2 2 2 2 8" xfId="4290"/>
    <cellStyle name="Check Cell 2 2 2 2 2 2 2 2 7" xfId="4291"/>
    <cellStyle name="Check Cell 2 2 2 2 2 2 2 2 2 7" xfId="4292"/>
    <cellStyle name="Check Cell 2 2 2 2 2 2 2 2 2 2 7" xfId="4293"/>
    <cellStyle name="60% - Accent1 2 2 2 2 2 2 9" xfId="4294"/>
    <cellStyle name="Heading 2 13" xfId="4295"/>
    <cellStyle name="60% - Accent1 2 2 2 2 2 10" xfId="4296"/>
    <cellStyle name="Heading 2 2 12" xfId="4297"/>
    <cellStyle name="Heading 2 2 2 8" xfId="4298"/>
    <cellStyle name="Heading 2 2 2 2 8" xfId="4299"/>
    <cellStyle name="Heading 2 2 2 2 2 7" xfId="4300"/>
    <cellStyle name="Heading 2 2 2 2 2 2 7" xfId="4301"/>
    <cellStyle name="Heading 2 2 2 2 2 2 2 6" xfId="4302"/>
    <cellStyle name="Heading 2 2 2 2 2 2 2 2 6" xfId="4303"/>
    <cellStyle name="Heading 2 2 2 2 2 2 2 2 2 5" xfId="4304"/>
    <cellStyle name="20% - Accent5 2 2 2 2 2 2 2 2 2 2 4" xfId="4305"/>
    <cellStyle name="20% - Accent5 2 2 2 2 2 2 2 2 2 4" xfId="4306"/>
    <cellStyle name="20% - Accent5 2 2 2 2 2 2 2 2 4" xfId="4307"/>
    <cellStyle name="20% - Accent5 2 2 2 2 2 2 2 5" xfId="4308"/>
    <cellStyle name="20% - Accent5 2 2 2 2 2 2 5" xfId="4309"/>
    <cellStyle name="20% - Accent5 2 2 2 2 2 6" xfId="4310"/>
    <cellStyle name="20% - Accent5 2 2 2 2 6" xfId="4311"/>
    <cellStyle name="20% - Accent5 2 2 2 7" xfId="4312"/>
    <cellStyle name="20% - Accent5 2 2 7" xfId="4313"/>
    <cellStyle name="20% - Accent5 2 11" xfId="4314"/>
    <cellStyle name="Heading 2 2 2 2 2 2 2 2 2 2 5" xfId="4315"/>
    <cellStyle name="20% - Accent5 12" xfId="4316"/>
    <cellStyle name="Heading 2 2 2 2 2 2 2 2 2 2 2 5" xfId="4317"/>
    <cellStyle name="60% - Accent1 2 2 2 2 10" xfId="4318"/>
    <cellStyle name="60% - Accent1 2 2 2 11" xfId="4319"/>
    <cellStyle name="60% - Accent1 2 2 11" xfId="4320"/>
    <cellStyle name="60% - Accent1 2 15" xfId="4321"/>
    <cellStyle name="60% - Accent3 2 2 2 2 2 2 2 2 2 10" xfId="4322"/>
    <cellStyle name="60% - Accent1 16" xfId="4323"/>
    <cellStyle name="60% - Accent3 2 2 2 2 2 2 2 2 10" xfId="4324"/>
    <cellStyle name="60% - Accent3 2 2 2 2 2 2 2 11" xfId="4325"/>
    <cellStyle name="60% - Accent3 2 2 2 2 2 2 11" xfId="4326"/>
    <cellStyle name="60% - Accent3 2 2 2 2 2 12" xfId="4327"/>
    <cellStyle name="60% - Accent3 2 2 2 2 12" xfId="4328"/>
    <cellStyle name="60% - Accent3 2 2 2 13" xfId="4329"/>
    <cellStyle name="60% - Accent3 2 2 13" xfId="4330"/>
    <cellStyle name="60% - Accent3 2 17" xfId="4331"/>
    <cellStyle name="Normal 2 11" xfId="4332"/>
    <cellStyle name="Normal 2 2 6" xfId="4333"/>
    <cellStyle name="Normal 2 2 2 6" xfId="4334"/>
    <cellStyle name="Normal 2 2 2 2 5" xfId="4335"/>
    <cellStyle name="Normal 2 2 2 2 2 5" xfId="4336"/>
    <cellStyle name="Normal 2 2 2 2 2 2 4" xfId="4337"/>
    <cellStyle name="Normal 2 2 2 2 2 2 2 4" xfId="4338"/>
    <cellStyle name="Normal 2 2 2 2 2 2 2 2 3" xfId="4339"/>
    <cellStyle name="Normal 2 2 2 2 2 2 2 2 2 3" xfId="4340"/>
    <cellStyle name="Normal 2 2 2 2 2 2 2 2 2 2 3" xfId="4341"/>
    <cellStyle name="60% - Accent3 18" xfId="4342"/>
    <cellStyle name="Accent5 19" xfId="4343"/>
    <cellStyle name="Accent5 2 18" xfId="4344"/>
    <cellStyle name="Accent5 2 2 14" xfId="4345"/>
    <cellStyle name="Accent5 2 2 2 14" xfId="4346"/>
    <cellStyle name="Accent5 2 2 2 2 13" xfId="4347"/>
    <cellStyle name="Accent5 2 2 2 2 2 13" xfId="4348"/>
    <cellStyle name="Accent5 2 2 2 2 2 2 12" xfId="4349"/>
    <cellStyle name="Accent5 2 2 2 2 2 2 2 12" xfId="4350"/>
    <cellStyle name="Normal 2 3 3" xfId="4351"/>
    <cellStyle name="Accent5 2 2 2 2 2 2 2 2 11" xfId="4352"/>
    <cellStyle name="Accent5 2 2 2 2 2 2 2 2 2 11" xfId="4353"/>
    <cellStyle name="Accent5 2 2 2 2 2 2 2 2 2 2 11" xfId="4354"/>
    <cellStyle name="Bad 17" xfId="4355"/>
    <cellStyle name="Bad 2 16" xfId="4356"/>
    <cellStyle name="Normal 3 3" xfId="4357"/>
    <cellStyle name="Bad 2 2 12" xfId="4358"/>
    <cellStyle name="Bad 2 2 2 12" xfId="4359"/>
    <cellStyle name="Bad 2 2 2 2 11" xfId="4360"/>
    <cellStyle name="Bad 2 2 2 2 2 11" xfId="4361"/>
    <cellStyle name="Bad 2 2 2 2 2 2 10" xfId="4362"/>
    <cellStyle name="Bad 2 2 2 2 2 2 2 10" xfId="4363"/>
    <cellStyle name="Bad 2 2 2 2 2 2 2 2 9" xfId="4364"/>
    <cellStyle name="Bad 2 2 2 2 2 2 2 2 2 9" xfId="4365"/>
    <cellStyle name="40% - Accent3 2 2 2 2 2 2 2 2 2 2 6" xfId="4366"/>
    <cellStyle name="40% - Accent3 2 2 2 2 2 2 2 2 2 6" xfId="4367"/>
    <cellStyle name="40% - Accent3 2 2 2 2 2 2 2 2 6" xfId="4368"/>
    <cellStyle name="40% - Accent3 2 2 2 2 2 2 2 7" xfId="4369"/>
    <cellStyle name="40% - Accent3 2 2 2 2 2 2 7" xfId="4370"/>
    <cellStyle name="40% - Accent3 2 2 2 2 2 8" xfId="4371"/>
    <cellStyle name="40% - Accent3 2 2 2 2 8" xfId="4372"/>
    <cellStyle name="Note 17" xfId="4373"/>
    <cellStyle name="40% - Accent3 2 2 2 9" xfId="4374"/>
    <cellStyle name="20% - Accent4 2 2 2 2 2 2 2 2 2 2 4" xfId="4375"/>
    <cellStyle name="20% - Accent4 2 2 2 2 2 2 2 2 2 4" xfId="4376"/>
    <cellStyle name="20% - Accent4 2 2 2 2 2 2 2 2 4" xfId="4377"/>
    <cellStyle name="20% - Accent4 2 2 2 2 2 2 2 5" xfId="4378"/>
    <cellStyle name="20% - Accent4 2 2 2 2 2 2 5" xfId="4379"/>
    <cellStyle name="20% - Accent4 2 2 2 2 2 6" xfId="4380"/>
    <cellStyle name="20% - Accent4 2 2 2 2 6" xfId="4381"/>
    <cellStyle name="20% - Accent4 2 2 2 7" xfId="4382"/>
    <cellStyle name="20% - Accent4 2 2 7" xfId="4383"/>
    <cellStyle name="20% - Accent4 2 11" xfId="4384"/>
    <cellStyle name="40% - Accent3 2 2 9" xfId="4385"/>
    <cellStyle name="20% - Accent4 12" xfId="4386"/>
    <cellStyle name="Heading 3 13" xfId="4387"/>
    <cellStyle name="40% - Accent3 2 13" xfId="4388"/>
    <cellStyle name="Note 2 3" xfId="4389"/>
    <cellStyle name="Heading 3 2 12" xfId="4390"/>
    <cellStyle name="Heading 3 2 2 8" xfId="4391"/>
    <cellStyle name="Heading 3 2 2 2 8" xfId="4392"/>
    <cellStyle name="Heading 3 2 2 2 2 7" xfId="4393"/>
    <cellStyle name="Heading 3 2 2 2 2 2 7" xfId="4394"/>
    <cellStyle name="Heading 3 2 2 2 2 2 2 6" xfId="4395"/>
    <cellStyle name="Heading 3 2 2 2 2 2 2 2 6" xfId="4396"/>
    <cellStyle name="Output 11" xfId="4397"/>
    <cellStyle name="Heading 3 2 2 2 2 2 2 2 2 5" xfId="4398"/>
    <cellStyle name="Output 2 10" xfId="4399"/>
    <cellStyle name="Output 2 2 6" xfId="4400"/>
    <cellStyle name="Output 2 2 2 6" xfId="4401"/>
    <cellStyle name="Output 2 2 2 2 5" xfId="4402"/>
    <cellStyle name="Output 2 2 2 2 2 5" xfId="4403"/>
    <cellStyle name="Output 2 2 2 2 2 2 4" xfId="4404"/>
    <cellStyle name="Output 2 2 2 2 2 2 2 4" xfId="4405"/>
    <cellStyle name="Output 2 2 2 2 2 2 2 2 3" xfId="4406"/>
    <cellStyle name="Output 2 2 2 2 2 2 2 2 2 3" xfId="4407"/>
    <cellStyle name="Output 2 2 2 2 2 2 2 2 2 2 3" xfId="4408"/>
    <cellStyle name="Heading 3 2 2 2 2 2 2 2 2 2 5" xfId="4409"/>
    <cellStyle name="Heading 3 2 2 2 2 2 2 2 2 2 2 5" xfId="4410"/>
    <cellStyle name="Bad 2 2 2 2 2 2 2 2 2 2 9" xfId="4411"/>
    <cellStyle name="40% - Accent3 14" xfId="4412"/>
    <cellStyle name="Explanatory Text 15" xfId="4413"/>
    <cellStyle name="Explanatory Text 2 14" xfId="4414"/>
    <cellStyle name="Explanatory Text 2 2 10" xfId="4415"/>
    <cellStyle name="Explanatory Text 2 2 2 10" xfId="4416"/>
    <cellStyle name="Explanatory Text 2 2 2 2 9" xfId="4417"/>
    <cellStyle name="Explanatory Text 2 2 2 2 2 9" xfId="4418"/>
    <cellStyle name="Explanatory Text 2 2 2 2 2 2 8" xfId="4419"/>
    <cellStyle name="Explanatory Text 2 2 2 2 2 2 2 8" xfId="4420"/>
    <cellStyle name="Explanatory Text 2 2 2 2 2 2 2 2 7" xfId="4421"/>
    <cellStyle name="Explanatory Text 2 2 2 2 2 2 2 2 2 7" xfId="4422"/>
    <cellStyle name="Explanatory Text 2 2 2 2 2 2 2 2 2 2 7" xfId="4423"/>
    <cellStyle name="40% - Accent6 2 2 2 2 2 2 2 2 2 2 8" xfId="4424"/>
    <cellStyle name="40% - Accent6 2 2 2 2 2 2 2 2 2 8" xfId="4425"/>
    <cellStyle name="40% - Accent6 2 2 2 2 2 2 2 2 8" xfId="4426"/>
    <cellStyle name="40% - Accent6 2 2 2 2 2 2 2 9" xfId="4427"/>
    <cellStyle name="40% - Accent6 2 2 2 2 2 2 9" xfId="4428"/>
    <cellStyle name="40% - Accent6 2 2 2 2 2 10" xfId="4429"/>
    <cellStyle name="40% - Accent6 2 2 2 2 10" xfId="4430"/>
    <cellStyle name="40% - Accent6 2 2 2 11" xfId="4431"/>
    <cellStyle name="40% - Accent6 2 2 11" xfId="4432"/>
    <cellStyle name="40% - Accent6 2 15" xfId="4433"/>
    <cellStyle name="20% - Accent3 2 2 2 2 2 2 2 2 2 2 4" xfId="4434"/>
    <cellStyle name="20% - Accent3 2 2 2 2 2 2 2 2 2 4" xfId="4435"/>
    <cellStyle name="20% - Accent3 2 2 2 2 2 2 2 2 4" xfId="4436"/>
    <cellStyle name="20% - Accent3 2 2 2 2 2 2 2 5" xfId="4437"/>
    <cellStyle name="20% - Accent3 2 2 2 2 2 2 5" xfId="4438"/>
    <cellStyle name="20% - Accent3 2 2 2 2 2 6" xfId="4439"/>
    <cellStyle name="20% - Accent3 2 2 2 2 6" xfId="4440"/>
    <cellStyle name="20% - Accent3 2 2 2 7" xfId="4441"/>
    <cellStyle name="20% - Accent3 2 2 7" xfId="4442"/>
    <cellStyle name="20% - Accent3 2 11" xfId="4443"/>
    <cellStyle name="Title 10" xfId="4444"/>
    <cellStyle name="Title 2 6" xfId="4445"/>
    <cellStyle name="Title 2 2 6" xfId="4446"/>
    <cellStyle name="Title 2 2 2 5" xfId="4447"/>
    <cellStyle name="Title 2 2 2 2 5" xfId="4448"/>
    <cellStyle name="Title 2 2 2 2 2 4" xfId="4449"/>
    <cellStyle name="Title 2 2 2 2 2 2 4" xfId="4450"/>
    <cellStyle name="Title 2 2 2 2 2 2 2 3" xfId="4451"/>
    <cellStyle name="Title 2 2 2 2 2 2 2 2 3" xfId="4452"/>
    <cellStyle name="Title 2 2 2 2 2 2 2 2 2 3" xfId="4453"/>
    <cellStyle name="20% - Accent3 12" xfId="4454"/>
    <cellStyle name="40% - Accent6 16" xfId="4455"/>
    <cellStyle name="Heading 4 13" xfId="4456"/>
    <cellStyle name="Heading 4 2 12" xfId="4457"/>
    <cellStyle name="Heading 4 2 2 8" xfId="4458"/>
    <cellStyle name="Heading 4 2 2 2 8" xfId="4459"/>
    <cellStyle name="Heading 4 2 2 2 2 7" xfId="4460"/>
    <cellStyle name="Heading 4 2 2 2 2 2 7" xfId="4461"/>
    <cellStyle name="Heading 4 2 2 2 2 2 2 6" xfId="4462"/>
    <cellStyle name="Heading 4 2 2 2 2 2 2 2 6" xfId="4463"/>
    <cellStyle name="Heading 4 2 2 2 2 2 2 2 2 5" xfId="4464"/>
    <cellStyle name="Heading 4 2 2 2 2 2 2 2 2 2 5" xfId="4465"/>
    <cellStyle name="Heading 4 2 2 2 2 2 2 2 2 2 2 5" xfId="4466"/>
    <cellStyle name="40% - Accent2 2 2 2 2 2 2 2 2 2 2 6" xfId="4467"/>
    <cellStyle name="40% - Accent2 2 2 2 2 2 2 2 2 2 6" xfId="4468"/>
    <cellStyle name="40% - Accent2 2 2 2 2 2 2 2 2 6" xfId="4469"/>
    <cellStyle name="40% - Accent2 2 2 2 2 2 2 2 7" xfId="4470"/>
    <cellStyle name="40% - Accent2 2 2 2 2 2 2 7" xfId="4471"/>
    <cellStyle name="Total 11" xfId="4472"/>
    <cellStyle name="40% - Accent2 2 2 2 2 2 8" xfId="4473"/>
    <cellStyle name="Total 2 10" xfId="4474"/>
    <cellStyle name="Total 2 2 6" xfId="4475"/>
    <cellStyle name="Total 2 2 2 6" xfId="4476"/>
    <cellStyle name="Total 2 2 2 2 5" xfId="4477"/>
    <cellStyle name="Total 2 2 2 2 2 5" xfId="4478"/>
    <cellStyle name="Total 2 2 2 2 2 2 4" xfId="4479"/>
    <cellStyle name="Total 2 2 2 2 2 2 2 4" xfId="4480"/>
    <cellStyle name="Total 2 2 2 2 2 2 2 2 3" xfId="4481"/>
    <cellStyle name="Total 2 2 2 2 2 2 2 2 2 3" xfId="4482"/>
    <cellStyle name="Total 2 2 2 2 2 2 2 2 2 2 3" xfId="4483"/>
    <cellStyle name="40% - Accent2 2 2 2 2 8" xfId="4484"/>
    <cellStyle name="40% - Accent2 2 2 2 9" xfId="4485"/>
    <cellStyle name="40% - Accent2 2 2 9" xfId="4486"/>
    <cellStyle name="40% - Accent2 2 13" xfId="4487"/>
    <cellStyle name="40% - Accent2 14" xfId="4488"/>
    <cellStyle name="60% - Accent2 2 2 2 2 2 2 2 2 2 2 10" xfId="4489"/>
    <cellStyle name="60% - Accent2 2 2 2 2 2 2 2 2 2 10" xfId="4490"/>
    <cellStyle name="60% - Accent2 2 2 2 2 2 2 2 2 10" xfId="4491"/>
    <cellStyle name="60% - Accent2 2 2 2 2 2 2 2 11" xfId="4492"/>
    <cellStyle name="60% - Accent2 2 2 2 2 2 2 11" xfId="4493"/>
    <cellStyle name="60% - Accent2 2 2 2 2 2 12" xfId="4494"/>
    <cellStyle name="20% - Accent2 2 2 2 2 2 2 2 2 2 2 4" xfId="4495"/>
    <cellStyle name="20% - Accent2 2 2 2 2 2 2 2 2 2 4" xfId="4496"/>
    <cellStyle name="20% - Accent2 2 2 2 2 2 2 2 2 4" xfId="4497"/>
    <cellStyle name="20% - Accent2 2 2 2 2 2 2 2 5" xfId="4498"/>
    <cellStyle name="20% - Accent2 2 2 2 2 2 2 5" xfId="4499"/>
    <cellStyle name="20% - Accent2 2 2 2 2 2 6" xfId="4500"/>
    <cellStyle name="20% - Accent2 2 2 2 2 6" xfId="4501"/>
    <cellStyle name="20% - Accent2 2 2 2 7" xfId="4502"/>
    <cellStyle name="20% - Accent2 2 2 7" xfId="4503"/>
    <cellStyle name="20% - Accent2 2 11" xfId="4504"/>
    <cellStyle name="60% - Accent2 2 2 2 2 12" xfId="4505"/>
    <cellStyle name="20% - Accent2 12" xfId="4506"/>
    <cellStyle name="60% - Accent2 2 2 2 13" xfId="4507"/>
    <cellStyle name="60% - Accent2 2 2 13" xfId="4508"/>
    <cellStyle name="60% - Accent2 2 17" xfId="4509"/>
    <cellStyle name="Good 15" xfId="4510"/>
    <cellStyle name="Good 2 14" xfId="4511"/>
    <cellStyle name="Good 2 2 10" xfId="4512"/>
    <cellStyle name="Good 2 2 2 10" xfId="4513"/>
    <cellStyle name="Good 2 2 2 2 9" xfId="4514"/>
    <cellStyle name="Good 2 2 2 2 2 9" xfId="4515"/>
    <cellStyle name="Good 2 2 2 2 2 2 8" xfId="4516"/>
    <cellStyle name="Good 2 2 2 2 2 2 2 8" xfId="4517"/>
    <cellStyle name="Good 2 2 2 2 2 2 2 2 7" xfId="4518"/>
    <cellStyle name="Good 2 2 2 2 2 2 2 2 2 7" xfId="4519"/>
    <cellStyle name="Good 2 2 2 2 2 2 2 2 2 2 7" xfId="4520"/>
    <cellStyle name="60% - Accent2 18" xfId="4521"/>
    <cellStyle name="Warning Text 11" xfId="4522"/>
    <cellStyle name="Calculation 17" xfId="4523"/>
    <cellStyle name="Warning Text 2 10" xfId="4524"/>
    <cellStyle name="Warning Text 2 2 6" xfId="4525"/>
    <cellStyle name="Warning Text 2 2 2 6" xfId="4526"/>
    <cellStyle name="Warning Text 2 2 2 2 5" xfId="4527"/>
    <cellStyle name="Warning Text 2 2 2 2 2 5" xfId="4528"/>
    <cellStyle name="Warning Text 2 2 2 2 2 2 4" xfId="4529"/>
    <cellStyle name="Warning Text 2 2 2 2 2 2 2 4" xfId="4530"/>
    <cellStyle name="Warning Text 2 2 2 2 2 2 2 2 3" xfId="4531"/>
    <cellStyle name="Warning Text 2 2 2 2 2 2 2 2 2 3" xfId="4532"/>
    <cellStyle name="Warning Text 2 2 2 2 2 2 2 2 2 2 3" xfId="4533"/>
    <cellStyle name="Calculation 2 16" xfId="4534"/>
    <cellStyle name="Calculation 2 2 12" xfId="4535"/>
    <cellStyle name="Input 13" xfId="4536"/>
    <cellStyle name="Calculation 2 2 2 12" xfId="4537"/>
    <cellStyle name="Input 2 12" xfId="4538"/>
    <cellStyle name="Input 2 2 8" xfId="4539"/>
    <cellStyle name="Input 2 2 2 8" xfId="4540"/>
    <cellStyle name="Input 2 2 2 2 7" xfId="4541"/>
    <cellStyle name="Input 2 2 2 2 2 7" xfId="4542"/>
    <cellStyle name="Input 2 2 2 2 2 2 6" xfId="4543"/>
    <cellStyle name="Input 2 2 2 2 2 2 2 6" xfId="4544"/>
    <cellStyle name="Input 2 2 2 2 2 2 2 2 5" xfId="4545"/>
    <cellStyle name="Input 2 2 2 2 2 2 2 2 2 5" xfId="4546"/>
    <cellStyle name="Input 2 2 2 2 2 2 2 2 2 2 5" xfId="4547"/>
    <cellStyle name="Calculation 2 2 2 2 11" xfId="4548"/>
    <cellStyle name="Calculation 2 2 2 2 2 11" xfId="4549"/>
    <cellStyle name="Calculation 2 2 2 2 2 2 10" xfId="4550"/>
    <cellStyle name="Calculation 2 2 2 2 2 2 2 10" xfId="4551"/>
    <cellStyle name="Calculation 2 2 2 2 2 2 2 2 9" xfId="4552"/>
    <cellStyle name="Calculation 2 2 2 2 2 2 2 2 2 9" xfId="4553"/>
    <cellStyle name="Calculation 2 2 2 2 2 2 2 2 2 2 9" xfId="4554"/>
    <cellStyle name="40% - Accent5 2 2 2 2 2 2 2 2 2 2 8" xfId="4555"/>
    <cellStyle name="40% - Accent5 2 2 2 2 2 2 2 2 2 8" xfId="4556"/>
    <cellStyle name="40% - Accent1 2 2 2 2 2 2 2 2 2 2 6" xfId="4557"/>
    <cellStyle name="40% - Accent1 2 2 2 2 2 2 2 2 2 6" xfId="4558"/>
    <cellStyle name="40% - Accent1 2 2 2 2 2 2 2 2 6" xfId="4559"/>
    <cellStyle name="20% - Accent1 2 2 2 2 2 2 2 2 2 2 4" xfId="4560"/>
    <cellStyle name="20% - Accent1 2 2 2 2 2 2 2 2 2 4" xfId="4561"/>
    <cellStyle name="20% - Accent1 2 2 2 2 2 2 2 2 4" xfId="4562"/>
    <cellStyle name="20% - Accent1 2 2 2 2 2 2 2 5" xfId="4563"/>
    <cellStyle name="20% - Accent1 2 2 2 2 2 2 5" xfId="4564"/>
    <cellStyle name="20% - Accent1 2 2 2 2 2 6" xfId="4565"/>
    <cellStyle name="20% - Accent1 2 2 2 2 6" xfId="4566"/>
    <cellStyle name="20% - Accent1 2 2 2 7" xfId="4567"/>
    <cellStyle name="20% - Accent1 2 2 7" xfId="4568"/>
    <cellStyle name="20% - Accent1 2 11" xfId="4569"/>
    <cellStyle name="40% - Accent1 2 2 2 2 2 2 2 7" xfId="4570"/>
    <cellStyle name="20% - Accent1 12" xfId="4571"/>
    <cellStyle name="Normal 10" xfId="4572"/>
    <cellStyle name="40% - Accent5 2 2 2 2 2 2 2 2 2 2 7" xfId="4573"/>
    <cellStyle name="40% - Accent5 2 2 2 2 2 2 2 2 2 7" xfId="4574"/>
    <cellStyle name="40% - Accent1 2 2 2 2 2 2 2 2 2 2 5" xfId="4575"/>
    <cellStyle name="40% - Accent1 2 2 2 2 2 2 2 2 2 5" xfId="4576"/>
    <cellStyle name="40% - Accent1 2 2 2 2 2 2 2 2 5" xfId="4577"/>
    <cellStyle name="40% - Accent1 2 2 2 2 2 2 2 6" xfId="4578"/>
    <cellStyle name="40% - Accent1 2 2 2 2 2 2 6" xfId="4579"/>
    <cellStyle name="40% - Accent1 2 2 2 2 2 7" xfId="4580"/>
    <cellStyle name="40% - Accent1 2 2 2 2 7" xfId="4581"/>
    <cellStyle name="40% - Accent1 2 2 2 8" xfId="4582"/>
    <cellStyle name="40% - Accent1 2 2 8" xfId="4583"/>
    <cellStyle name="40% - Accent1 2 12" xfId="4584"/>
    <cellStyle name="40% - Accent5 2 2 2 2 2 2 2 2 7" xfId="4585"/>
    <cellStyle name="40% - Accent1 13" xfId="4586"/>
    <cellStyle name="40% - Accent5 2 2 2 2 2 2 2 8" xfId="4587"/>
    <cellStyle name="40% - Accent5 2 2 2 2 2 2 8" xfId="4588"/>
    <cellStyle name="40% - Accent5 2 2 2 2 2 9" xfId="4589"/>
    <cellStyle name="40% - Accent5 2 2 2 2 9" xfId="4590"/>
    <cellStyle name="40% - Accent5 2 2 2 10" xfId="4591"/>
    <cellStyle name="40% - Accent5 2 2 10" xfId="4592"/>
    <cellStyle name="40% - Accent5 2 14" xfId="4593"/>
    <cellStyle name="40% - Accent5 15" xfId="4594"/>
    <cellStyle name="Accent6 18" xfId="4595"/>
    <cellStyle name="Accent6 2 17" xfId="4596"/>
    <cellStyle name="Accent6 2 2 13" xfId="4597"/>
    <cellStyle name="Accent6 2 2 2 13" xfId="4598"/>
    <cellStyle name="Accent6 2 2 2 2 12" xfId="4599"/>
    <cellStyle name="Accent6 2 2 2 2 2 12" xfId="4600"/>
    <cellStyle name="Accent6 2 2 2 2 2 2 11" xfId="4601"/>
    <cellStyle name="Accent6 2 2 2 2 2 2 2 11" xfId="4602"/>
    <cellStyle name="Accent6 2 2 2 2 2 2 2 2 10" xfId="4603"/>
    <cellStyle name="Accent6 2 2 2 2 2 2 2 2 2 10" xfId="4604"/>
    <cellStyle name="Linked Cell 12" xfId="4605"/>
    <cellStyle name="Accent6 2 2 2 2 2 2 2 2 2 2 10" xfId="4606"/>
    <cellStyle name="Linked Cell 2 11" xfId="4607"/>
    <cellStyle name="Linked Cell 2 2 7" xfId="4608"/>
    <cellStyle name="Linked Cell 2 2 2 7" xfId="4609"/>
    <cellStyle name="Linked Cell 2 2 2 2 6" xfId="4610"/>
    <cellStyle name="Linked Cell 2 2 2 2 2 6" xfId="4611"/>
    <cellStyle name="Linked Cell 2 2 2 2 2 2 5" xfId="4612"/>
    <cellStyle name="Linked Cell 2 2 2 2 2 2 2 5" xfId="4613"/>
    <cellStyle name="Linked Cell 2 2 2 2 2 2 2 2 4" xfId="4614"/>
    <cellStyle name="Linked Cell 2 2 2 2 2 2 2 2 2 4" xfId="4615"/>
    <cellStyle name="Linked Cell 2 2 2 2 2 2 2 2 2 2 4" xfId="4616"/>
    <cellStyle name="Heading 1 14" xfId="4617"/>
    <cellStyle name="Heading 1 2 13" xfId="4618"/>
    <cellStyle name="Heading 1 2 2 9" xfId="4619"/>
    <cellStyle name="Heading 1 2 2 2 9" xfId="4620"/>
    <cellStyle name="Heading 1 2 2 2 2 8" xfId="4621"/>
    <cellStyle name="Heading 1 2 2 2 2 2 8" xfId="4622"/>
    <cellStyle name="Heading 1 2 2 2 2 2 2 7" xfId="4623"/>
    <cellStyle name="Heading 1 2 2 2 2 2 2 2 7" xfId="4624"/>
    <cellStyle name="Heading 1 2 2 2 2 2 2 2 2 6" xfId="4625"/>
    <cellStyle name="Heading 1 2 2 2 2 2 2 2 2 2 6" xfId="4626"/>
    <cellStyle name="Heading 1 2 2 2 2 2 2 2 2 2 2 6" xfId="4627"/>
    <cellStyle name="20% - Accent6 2 2 2 2 2 2 2 2 2 2 5" xfId="4628"/>
    <cellStyle name="20% - Accent6 2 2 2 2 2 2 2 2 2 5" xfId="4629"/>
    <cellStyle name="20% - Accent6 2 2 2 2 2 2 2 2 5" xfId="4630"/>
    <cellStyle name="20% - Accent6 2 2 2 2 2 2 2 6" xfId="4631"/>
    <cellStyle name="20% - Accent6 2 2 2 2 2 2 6" xfId="4632"/>
    <cellStyle name="20% - Accent6 2 2 2 2 2 7" xfId="4633"/>
    <cellStyle name="20% - Accent6 2 2 2 2 7" xfId="4634"/>
    <cellStyle name="20% - Accent6 2 2 2 8" xfId="4635"/>
    <cellStyle name="20% - Accent6 2 2 8" xfId="4636"/>
    <cellStyle name="20% - Accent6 2 12" xfId="4637"/>
    <cellStyle name="20% - Accent6 13" xfId="4638"/>
    <cellStyle name="60% - Accent3 2 2 2 2 2 2 2 2 2 2 11" xfId="4639"/>
    <cellStyle name="60% - Accent1 2 2 2 2 2 2 2 2 2 2 9" xfId="4640"/>
    <cellStyle name="60% - Accent1 2 2 2 2 2 2 2 2 2 9" xfId="4641"/>
    <cellStyle name="Neutral 12" xfId="4642"/>
    <cellStyle name="60% - Accent1 2 2 2 2 2 2 2 2 9" xfId="4643"/>
    <cellStyle name="Neutral 2 11" xfId="4644"/>
    <cellStyle name="Neutral 2 2 7" xfId="4645"/>
    <cellStyle name="Neutral 2 2 2 7" xfId="4646"/>
    <cellStyle name="Neutral 2 2 2 2 6" xfId="4647"/>
    <cellStyle name="Neutral 2 2 2 2 2 6" xfId="4648"/>
    <cellStyle name="Neutral 2 2 2 2 2 2 5" xfId="4649"/>
    <cellStyle name="Neutral 2 2 2 2 2 2 2 5" xfId="4650"/>
    <cellStyle name="Neutral 2 2 2 2 2 2 2 2 4" xfId="4651"/>
    <cellStyle name="Neutral 2 2 2 2 2 2 2 2 2 4" xfId="4652"/>
    <cellStyle name="Neutral 2 2 2 2 2 2 2 2 2 2 4" xfId="4653"/>
    <cellStyle name="Check Cell 16" xfId="4654"/>
    <cellStyle name="60% - Accent1 2 2 2 2 2 2 2 10" xfId="4655"/>
    <cellStyle name="Check Cell 2 15" xfId="4656"/>
    <cellStyle name="Check Cell 2 2 11" xfId="4657"/>
    <cellStyle name="40% - Accent4 2 2 2 2 2 2 2 2 2 2 7" xfId="4658"/>
    <cellStyle name="40% - Accent4 2 2 2 2 2 2 2 2 2 7" xfId="4659"/>
    <cellStyle name="40% - Accent4 2 2 2 2 2 2 2 2 7" xfId="4660"/>
    <cellStyle name="40% - Accent4 2 2 2 2 2 2 2 8" xfId="4661"/>
    <cellStyle name="40% - Accent4 2 2 2 2 2 2 8" xfId="4662"/>
    <cellStyle name="40% - Accent4 2 2 2 2 2 9" xfId="4663"/>
    <cellStyle name="40% - Accent4 2 2 2 2 9" xfId="4664"/>
    <cellStyle name="40% - Accent4 2 2 2 10" xfId="4665"/>
    <cellStyle name="40% - Accent4 2 2 10" xfId="4666"/>
    <cellStyle name="40% - Accent4 2 14" xfId="4667"/>
    <cellStyle name="Check Cell 2 2 2 11" xfId="4668"/>
    <cellStyle name="40% - Accent4 15" xfId="4669"/>
    <cellStyle name="Check Cell 2 2 2 2 10" xfId="4670"/>
    <cellStyle name="Check Cell 2 2 2 2 2 10" xfId="4671"/>
    <cellStyle name="Check Cell 2 2 2 2 2 2 9" xfId="4672"/>
    <cellStyle name="Check Cell 2 2 2 2 2 2 2 9" xfId="4673"/>
    <cellStyle name="Check Cell 2 2 2 2 2 2 2 2 8" xfId="4674"/>
    <cellStyle name="Check Cell 2 2 2 2 2 2 2 2 2 8" xfId="4675"/>
    <cellStyle name="Check Cell 2 2 2 2 2 2 2 2 2 2 8" xfId="4676"/>
    <cellStyle name="60% - Accent1 2 2 2 2 2 2 10" xfId="4677"/>
    <cellStyle name="Heading 2 14" xfId="4678"/>
    <cellStyle name="60% - Accent1 2 2 2 2 2 11" xfId="4679"/>
    <cellStyle name="Heading 2 2 13" xfId="4680"/>
    <cellStyle name="Heading 2 2 2 9" xfId="4681"/>
    <cellStyle name="Heading 2 2 2 2 9" xfId="4682"/>
    <cellStyle name="Heading 2 2 2 2 2 8" xfId="4683"/>
    <cellStyle name="Heading 2 2 2 2 2 2 8" xfId="4684"/>
    <cellStyle name="Heading 2 2 2 2 2 2 2 7" xfId="4685"/>
    <cellStyle name="Heading 2 2 2 2 2 2 2 2 7" xfId="4686"/>
    <cellStyle name="Heading 2 2 2 2 2 2 2 2 2 6" xfId="4687"/>
    <cellStyle name="20% - Accent5 2 2 2 2 2 2 2 2 2 2 5" xfId="4688"/>
    <cellStyle name="20% - Accent5 2 2 2 2 2 2 2 2 2 5" xfId="4689"/>
    <cellStyle name="20% - Accent5 2 2 2 2 2 2 2 2 5" xfId="4690"/>
    <cellStyle name="20% - Accent5 2 2 2 2 2 2 2 6" xfId="4691"/>
    <cellStyle name="20% - Accent5 2 2 2 2 2 2 6" xfId="4692"/>
    <cellStyle name="20% - Accent5 2 2 2 2 2 7" xfId="4693"/>
    <cellStyle name="20% - Accent5 2 2 2 2 7" xfId="4694"/>
    <cellStyle name="20% - Accent5 2 2 2 8" xfId="4695"/>
    <cellStyle name="20% - Accent5 2 2 8" xfId="4696"/>
    <cellStyle name="20% - Accent5 2 12" xfId="4697"/>
    <cellStyle name="Heading 2 2 2 2 2 2 2 2 2 2 6" xfId="4698"/>
    <cellStyle name="20% - Accent5 13" xfId="4699"/>
    <cellStyle name="Heading 2 2 2 2 2 2 2 2 2 2 2 6" xfId="4700"/>
    <cellStyle name="60% - Accent1 2 2 2 2 11" xfId="4701"/>
    <cellStyle name="60% - Accent1 2 2 2 12" xfId="4702"/>
    <cellStyle name="60% - Accent1 2 2 12" xfId="4703"/>
    <cellStyle name="60% - Accent1 2 16" xfId="4704"/>
    <cellStyle name="60% - Accent3 2 2 2 2 2 2 2 2 2 11" xfId="4705"/>
    <cellStyle name="60% - Accent1 17" xfId="4706"/>
    <cellStyle name="60% - Accent3 2 2 2 2 2 2 2 2 11" xfId="4707"/>
    <cellStyle name="60% - Accent3 2 2 2 2 2 2 2 12" xfId="4708"/>
    <cellStyle name="Normal 2 12" xfId="4709"/>
    <cellStyle name="Normal 2 2 7" xfId="4710"/>
    <cellStyle name="Normal 2 2 2 7" xfId="4711"/>
    <cellStyle name="Normal 2 2 2 2 6" xfId="4712"/>
    <cellStyle name="Normal 2 2 2 2 2 6" xfId="4713"/>
    <cellStyle name="Normal 2 2 2 2 2 2 5" xfId="4714"/>
    <cellStyle name="Normal 2 2 2 2 2 2 2 5" xfId="4715"/>
    <cellStyle name="Normal 2 2 2 2 2 2 2 2 4" xfId="4716"/>
    <cellStyle name="Normal 2 2 2 2 2 2 2 2 2 4" xfId="4717"/>
    <cellStyle name="Normal 2 2 2 2 2 2 2 2 2 2 4" xfId="4718"/>
    <cellStyle name="60% - Accent3 2 2 2 2 2 2 12" xfId="4719"/>
    <cellStyle name="60% - Accent3 2 2 2 2 2 13" xfId="4720"/>
    <cellStyle name="60% - Accent3 2 2 2 2 13" xfId="4721"/>
    <cellStyle name="60% - Accent3 2 2 2 14" xfId="4722"/>
    <cellStyle name="60% - Accent3 2 2 14" xfId="4723"/>
    <cellStyle name="60% - Accent3 2 18" xfId="4724"/>
    <cellStyle name="60% - Accent3 19" xfId="4725"/>
    <cellStyle name="Normal 2 3 4" xfId="4726"/>
    <cellStyle name="Normal 3 4" xfId="4727"/>
    <cellStyle name="Bad 18" xfId="4728"/>
    <cellStyle name="Bad 2 17" xfId="4729"/>
    <cellStyle name="Bad 2 2 13" xfId="4730"/>
    <cellStyle name="Bad 2 2 2 13" xfId="4731"/>
    <cellStyle name="Bad 2 2 2 2 12" xfId="4732"/>
    <cellStyle name="Bad 2 2 2 2 2 12" xfId="4733"/>
    <cellStyle name="Bad 2 2 2 2 2 2 11" xfId="4734"/>
    <cellStyle name="Bad 2 2 2 2 2 2 2 11" xfId="4735"/>
    <cellStyle name="Bad 2 2 2 2 2 2 2 2 10" xfId="4736"/>
    <cellStyle name="Bad 2 2 2 2 2 2 2 2 2 10" xfId="4737"/>
    <cellStyle name="40% - Accent3 2 2 2 2 2 2 2 2 2 2 7" xfId="4738"/>
    <cellStyle name="Note 18" xfId="4739"/>
    <cellStyle name="40% - Accent3 2 2 2 2 2 2 2 2 2 7" xfId="4740"/>
    <cellStyle name="40% - Accent3 2 2 2 2 2 2 2 2 7" xfId="4741"/>
    <cellStyle name="40% - Accent3 2 2 2 2 2 2 2 8" xfId="4742"/>
    <cellStyle name="40% - Accent3 2 2 2 2 2 2 8" xfId="4743"/>
    <cellStyle name="40% - Accent3 2 2 2 2 2 9" xfId="4744"/>
    <cellStyle name="40% - Accent3 2 2 2 2 9" xfId="4745"/>
    <cellStyle name="40% - Accent3 2 2 2 10" xfId="4746"/>
    <cellStyle name="20% - Accent4 2 2 2 2 2 2 2 2 2 2 5" xfId="4747"/>
    <cellStyle name="20% - Accent4 2 2 2 2 2 2 2 2 2 5" xfId="4748"/>
    <cellStyle name="20% - Accent4 2 2 2 2 2 2 2 2 5" xfId="4749"/>
    <cellStyle name="20% - Accent4 2 2 2 2 2 2 2 6" xfId="4750"/>
    <cellStyle name="20% - Accent4 2 2 2 2 2 2 6" xfId="4751"/>
    <cellStyle name="20% - Accent4 2 2 2 2 2 7" xfId="4752"/>
    <cellStyle name="20% - Accent4 2 2 2 2 7" xfId="4753"/>
    <cellStyle name="20% - Accent4 2 2 2 8" xfId="4754"/>
    <cellStyle name="Note 2 4" xfId="4755"/>
    <cellStyle name="20% - Accent4 2 2 8" xfId="4756"/>
    <cellStyle name="20% - Accent4 2 12" xfId="4757"/>
    <cellStyle name="40% - Accent3 2 2 10" xfId="4758"/>
    <cellStyle name="20% - Accent4 13" xfId="4759"/>
    <cellStyle name="Heading 3 14" xfId="4760"/>
    <cellStyle name="40% - Accent3 2 14" xfId="4761"/>
    <cellStyle name="Heading 3 2 13" xfId="4762"/>
    <cellStyle name="Output 12" xfId="4763"/>
    <cellStyle name="Heading 3 2 2 9" xfId="4764"/>
    <cellStyle name="Output 2 11" xfId="4765"/>
    <cellStyle name="Output 2 2 7" xfId="4766"/>
    <cellStyle name="Output 2 2 2 7" xfId="4767"/>
    <cellStyle name="Output 2 2 2 2 6" xfId="4768"/>
    <cellStyle name="Output 2 2 2 2 2 6" xfId="4769"/>
    <cellStyle name="Output 2 2 2 2 2 2 5" xfId="4770"/>
    <cellStyle name="Output 2 2 2 2 2 2 2 5" xfId="4771"/>
    <cellStyle name="Output 2 2 2 2 2 2 2 2 4" xfId="4772"/>
    <cellStyle name="Output 2 2 2 2 2 2 2 2 2 4" xfId="4773"/>
    <cellStyle name="Output 2 2 2 2 2 2 2 2 2 2 4" xfId="4774"/>
    <cellStyle name="Heading 3 2 2 2 9" xfId="4775"/>
    <cellStyle name="Heading 3 2 2 2 2 8" xfId="4776"/>
    <cellStyle name="Heading 3 2 2 2 2 2 8" xfId="4777"/>
    <cellStyle name="Heading 3 2 2 2 2 2 2 7" xfId="4778"/>
    <cellStyle name="Heading 3 2 2 2 2 2 2 2 7" xfId="4779"/>
    <cellStyle name="Heading 3 2 2 2 2 2 2 2 2 6" xfId="4780"/>
    <cellStyle name="Heading 3 2 2 2 2 2 2 2 2 2 6" xfId="4781"/>
    <cellStyle name="Heading 3 2 2 2 2 2 2 2 2 2 2 6" xfId="4782"/>
    <cellStyle name="Bad 2 2 2 2 2 2 2 2 2 2 10" xfId="4783"/>
    <cellStyle name="40% - Accent3 15" xfId="4784"/>
    <cellStyle name="Explanatory Text 16" xfId="4785"/>
    <cellStyle name="Explanatory Text 2 15" xfId="4786"/>
    <cellStyle name="Explanatory Text 2 2 11" xfId="4787"/>
    <cellStyle name="Explanatory Text 2 2 2 11" xfId="4788"/>
    <cellStyle name="Explanatory Text 2 2 2 2 10" xfId="4789"/>
    <cellStyle name="Explanatory Text 2 2 2 2 2 10" xfId="4790"/>
    <cellStyle name="Explanatory Text 2 2 2 2 2 2 9" xfId="4791"/>
    <cellStyle name="Explanatory Text 2 2 2 2 2 2 2 9" xfId="4792"/>
    <cellStyle name="Explanatory Text 2 2 2 2 2 2 2 2 8" xfId="4793"/>
    <cellStyle name="Explanatory Text 2 2 2 2 2 2 2 2 2 8" xfId="4794"/>
    <cellStyle name="Explanatory Text 2 2 2 2 2 2 2 2 2 2 8" xfId="4795"/>
    <cellStyle name="40% - Accent6 2 2 2 2 2 2 2 2 2 2 9" xfId="4796"/>
    <cellStyle name="40% - Accent6 2 2 2 2 2 2 2 2 2 9" xfId="4797"/>
    <cellStyle name="40% - Accent6 2 2 2 2 2 2 2 2 9" xfId="4798"/>
    <cellStyle name="40% - Accent6 2 2 2 2 2 2 2 10" xfId="4799"/>
    <cellStyle name="40% - Accent6 2 2 2 2 2 2 10" xfId="4800"/>
    <cellStyle name="40% - Accent6 2 2 2 2 2 11" xfId="4801"/>
    <cellStyle name="40% - Accent6 2 2 2 2 11" xfId="4802"/>
    <cellStyle name="40% - Accent6 2 2 2 12" xfId="4803"/>
    <cellStyle name="40% - Accent6 2 2 12" xfId="4804"/>
    <cellStyle name="40% - Accent6 2 16" xfId="4805"/>
    <cellStyle name="20% - Accent3 2 2 2 2 2 2 2 2 2 2 5" xfId="4806"/>
    <cellStyle name="20% - Accent3 2 2 2 2 2 2 2 2 2 5" xfId="4807"/>
    <cellStyle name="20% - Accent3 2 2 2 2 2 2 2 2 5" xfId="4808"/>
    <cellStyle name="20% - Accent3 2 2 2 2 2 2 2 6" xfId="4809"/>
    <cellStyle name="Title 11" xfId="4810"/>
    <cellStyle name="Title 2 7" xfId="4811"/>
    <cellStyle name="Title 2 2 7" xfId="4812"/>
    <cellStyle name="Title 2 2 2 6" xfId="4813"/>
    <cellStyle name="Title 2 2 2 2 6" xfId="4814"/>
    <cellStyle name="Title 2 2 2 2 2 5" xfId="4815"/>
    <cellStyle name="Title 2 2 2 2 2 2 5" xfId="4816"/>
    <cellStyle name="Title 2 2 2 2 2 2 2 4" xfId="4817"/>
    <cellStyle name="Title 2 2 2 2 2 2 2 2 4" xfId="4818"/>
    <cellStyle name="Title 2 2 2 2 2 2 2 2 2 4" xfId="4819"/>
    <cellStyle name="20% - Accent3 2 2 2 2 2 2 6" xfId="4820"/>
    <cellStyle name="20% - Accent3 2 2 2 2 2 7" xfId="4821"/>
    <cellStyle name="20% - Accent3 2 2 2 2 7" xfId="4822"/>
    <cellStyle name="20% - Accent3 2 2 2 8" xfId="4823"/>
    <cellStyle name="20% - Accent3 2 2 8" xfId="4824"/>
    <cellStyle name="20% - Accent3 2 12" xfId="4825"/>
    <cellStyle name="20% - Accent3 13" xfId="4826"/>
    <cellStyle name="40% - Accent6 17" xfId="4827"/>
    <cellStyle name="Heading 4 14" xfId="4828"/>
    <cellStyle name="Heading 4 2 13" xfId="4829"/>
    <cellStyle name="Heading 4 2 2 9" xfId="4830"/>
    <cellStyle name="Heading 4 2 2 2 9" xfId="4831"/>
    <cellStyle name="Heading 4 2 2 2 2 8" xfId="4832"/>
    <cellStyle name="Heading 4 2 2 2 2 2 8" xfId="4833"/>
    <cellStyle name="Heading 4 2 2 2 2 2 2 7" xfId="4834"/>
    <cellStyle name="Heading 4 2 2 2 2 2 2 2 7" xfId="4835"/>
    <cellStyle name="Heading 4 2 2 2 2 2 2 2 2 6" xfId="4836"/>
    <cellStyle name="Heading 4 2 2 2 2 2 2 2 2 2 6" xfId="4837"/>
    <cellStyle name="Heading 4 2 2 2 2 2 2 2 2 2 2 6" xfId="4838"/>
    <cellStyle name="Total 12" xfId="4839"/>
    <cellStyle name="Total 2 11" xfId="4840"/>
    <cellStyle name="Total 2 2 7" xfId="4841"/>
    <cellStyle name="Total 2 2 2 7" xfId="4842"/>
    <cellStyle name="Total 2 2 2 2 6" xfId="4843"/>
    <cellStyle name="Total 2 2 2 2 2 6" xfId="4844"/>
    <cellStyle name="Total 2 2 2 2 2 2 5" xfId="4845"/>
    <cellStyle name="Total 2 2 2 2 2 2 2 5" xfId="4846"/>
    <cellStyle name="Total 2 2 2 2 2 2 2 2 4" xfId="4847"/>
    <cellStyle name="Total 2 2 2 2 2 2 2 2 2 4" xfId="4848"/>
    <cellStyle name="Total 2 2 2 2 2 2 2 2 2 2 4" xfId="4849"/>
    <cellStyle name="40% - Accent2 2 2 2 2 2 2 2 2 2 2 7" xfId="4850"/>
    <cellStyle name="40% - Accent2 2 2 2 2 2 2 2 2 2 7" xfId="4851"/>
    <cellStyle name="40% - Accent2 2 2 2 2 2 2 2 2 7" xfId="4852"/>
    <cellStyle name="40% - Accent2 2 2 2 2 2 2 2 8" xfId="4853"/>
    <cellStyle name="40% - Accent2 2 2 2 2 2 2 8" xfId="4854"/>
    <cellStyle name="40% - Accent2 2 2 2 2 2 9" xfId="4855"/>
    <cellStyle name="40% - Accent2 2 2 2 2 9" xfId="4856"/>
    <cellStyle name="40% - Accent2 2 2 2 10" xfId="4857"/>
    <cellStyle name="40% - Accent2 2 2 10" xfId="4858"/>
    <cellStyle name="40% - Accent2 2 14" xfId="4859"/>
    <cellStyle name="40% - Accent2 15" xfId="4860"/>
    <cellStyle name="60% - Accent2 2 2 2 2 2 2 2 2 2 2 11" xfId="4861"/>
    <cellStyle name="60% - Accent2 2 2 2 2 2 2 2 2 2 11" xfId="4862"/>
    <cellStyle name="60% - Accent2 2 2 2 2 2 2 2 2 11" xfId="4863"/>
    <cellStyle name="60% - Accent2 2 2 2 2 2 2 2 12" xfId="4864"/>
    <cellStyle name="60% - Accent2 2 2 2 2 2 2 12" xfId="4865"/>
    <cellStyle name="60% - Accent2 2 2 2 2 2 13" xfId="4866"/>
    <cellStyle name="20% - Accent2 2 2 2 2 2 2 2 2 2 2 5" xfId="4867"/>
    <cellStyle name="20% - Accent2 2 2 2 2 2 2 2 2 2 5" xfId="4868"/>
    <cellStyle name="20% - Accent2 2 2 2 2 2 2 2 2 5" xfId="4869"/>
    <cellStyle name="20% - Accent2 2 2 2 2 2 2 2 6" xfId="4870"/>
    <cellStyle name="20% - Accent2 2 2 2 2 2 2 6" xfId="4871"/>
    <cellStyle name="20% - Accent2 2 2 2 2 2 7" xfId="4872"/>
    <cellStyle name="20% - Accent2 2 2 2 2 7" xfId="4873"/>
    <cellStyle name="20% - Accent2 2 2 2 8" xfId="4874"/>
    <cellStyle name="20% - Accent2 2 2 8" xfId="4875"/>
    <cellStyle name="20% - Accent2 2 12" xfId="4876"/>
    <cellStyle name="60% - Accent2 2 2 2 2 13" xfId="4877"/>
    <cellStyle name="20% - Accent2 13" xfId="4878"/>
    <cellStyle name="60% - Accent2 2 2 2 14" xfId="4879"/>
    <cellStyle name="60% - Accent2 2 2 14" xfId="4880"/>
    <cellStyle name="60% - Accent2 2 18" xfId="4881"/>
    <cellStyle name="Good 16" xfId="4882"/>
    <cellStyle name="Good 2 15" xfId="4883"/>
    <cellStyle name="Good 2 2 11" xfId="4884"/>
    <cellStyle name="Good 2 2 2 11" xfId="4885"/>
    <cellStyle name="Good 2 2 2 2 10" xfId="4886"/>
    <cellStyle name="Good 2 2 2 2 2 10" xfId="4887"/>
    <cellStyle name="Good 2 2 2 2 2 2 9" xfId="4888"/>
    <cellStyle name="Good 2 2 2 2 2 2 2 9" xfId="4889"/>
    <cellStyle name="Warning Text 12" xfId="4890"/>
    <cellStyle name="Good 2 2 2 2 2 2 2 2 8" xfId="4891"/>
    <cellStyle name="Warning Text 2 11" xfId="4892"/>
    <cellStyle name="Warning Text 2 2 7" xfId="4893"/>
    <cellStyle name="Warning Text 2 2 2 7" xfId="4894"/>
    <cellStyle name="Warning Text 2 2 2 2 6" xfId="4895"/>
    <cellStyle name="Warning Text 2 2 2 2 2 6" xfId="4896"/>
    <cellStyle name="Warning Text 2 2 2 2 2 2 5" xfId="4897"/>
    <cellStyle name="Warning Text 2 2 2 2 2 2 2 5" xfId="4898"/>
    <cellStyle name="Warning Text 2 2 2 2 2 2 2 2 4" xfId="4899"/>
    <cellStyle name="Warning Text 2 2 2 2 2 2 2 2 2 4" xfId="4900"/>
    <cellStyle name="Warning Text 2 2 2 2 2 2 2 2 2 2 4" xfId="4901"/>
    <cellStyle name="Good 2 2 2 2 2 2 2 2 2 8" xfId="4902"/>
    <cellStyle name="Good 2 2 2 2 2 2 2 2 2 2 8" xfId="4903"/>
    <cellStyle name="60% - Accent2 19" xfId="4904"/>
    <cellStyle name="Calculation 18" xfId="4905"/>
    <cellStyle name="Calculation 2 17" xfId="4906"/>
    <cellStyle name="Calculation 2 2 13" xfId="4907"/>
    <cellStyle name="Input 14" xfId="4908"/>
    <cellStyle name="Calculation 2 2 2 13" xfId="4909"/>
    <cellStyle name="Input 2 13" xfId="4910"/>
    <cellStyle name="Input 2 2 9" xfId="4911"/>
    <cellStyle name="Input 2 2 2 9" xfId="4912"/>
    <cellStyle name="Input 2 2 2 2 8" xfId="4913"/>
    <cellStyle name="Input 2 2 2 2 2 8" xfId="4914"/>
    <cellStyle name="Input 2 2 2 2 2 2 7" xfId="4915"/>
    <cellStyle name="Input 2 2 2 2 2 2 2 7" xfId="4916"/>
    <cellStyle name="Input 2 2 2 2 2 2 2 2 6" xfId="4917"/>
    <cellStyle name="Input 2 2 2 2 2 2 2 2 2 6" xfId="4918"/>
    <cellStyle name="Input 2 2 2 2 2 2 2 2 2 2 6" xfId="4919"/>
    <cellStyle name="Calculation 2 2 2 2 12" xfId="4920"/>
    <cellStyle name="Calculation 2 2 2 2 2 12" xfId="4921"/>
    <cellStyle name="Calculation 2 2 2 2 2 2 11" xfId="4922"/>
    <cellStyle name="Calculation 2 2 2 2 2 2 2 11" xfId="4923"/>
    <cellStyle name="Calculation 2 2 2 2 2 2 2 2 10" xfId="4924"/>
    <cellStyle name="Calculation 2 2 2 2 2 2 2 2 2 10" xfId="4925"/>
    <cellStyle name="Calculation 2 2 2 2 2 2 2 2 2 2 10" xfId="4926"/>
    <cellStyle name="40% - Accent5 2 2 2 2 2 2 2 2 2 2 9" xfId="4927"/>
    <cellStyle name="40% - Accent5 2 2 2 2 2 2 2 2 2 9" xfId="4928"/>
    <cellStyle name="40% - Accent1 2 2 2 2 2 2 2 2 2 2 7" xfId="4929"/>
    <cellStyle name="40% - Accent1 2 2 2 2 2 2 2 2 2 7" xfId="4930"/>
    <cellStyle name="40% - Accent1 2 2 2 2 2 2 2 2 7" xfId="4931"/>
    <cellStyle name="20% - Accent1 2 2 2 2 2 2 2 2 2 2 5" xfId="4932"/>
    <cellStyle name="20% - Accent1 2 2 2 2 2 2 2 2 2 5" xfId="4933"/>
    <cellStyle name="20% - Accent1 2 2 2 2 2 2 2 2 5" xfId="4934"/>
    <cellStyle name="20% - Accent1 2 2 2 2 2 2 2 6" xfId="4935"/>
    <cellStyle name="20% - Accent1 2 2 2 2 2 2 6" xfId="4936"/>
    <cellStyle name="20% - Accent1 2 2 2 2 2 7" xfId="4937"/>
    <cellStyle name="20% - Accent1 2 2 2 2 7" xfId="4938"/>
    <cellStyle name="20% - Accent1 2 2 2 8" xfId="4939"/>
    <cellStyle name="20% - Accent1 2 2 8" xfId="4940"/>
    <cellStyle name="20% - Accent1 2 12" xfId="4941"/>
    <cellStyle name="40% - Accent1 2 2 2 2 2 2 2 8" xfId="4942"/>
    <cellStyle name="20% - Accent1 13" xfId="4943"/>
    <cellStyle name="Normal 11" xfId="4944"/>
    <cellStyle name="40% - Accent1 2 2 2 2 2 2 7" xfId="4945"/>
    <cellStyle name="40% - Accent1 2 2 2 2 2 8" xfId="4946"/>
    <cellStyle name="40% - Accent1 2 2 2 2 8" xfId="4947"/>
    <cellStyle name="40% - Accent1 2 2 2 9" xfId="4948"/>
    <cellStyle name="40% - Accent1 2 2 9" xfId="4949"/>
    <cellStyle name="40% - Accent1 2 13" xfId="4950"/>
    <cellStyle name="40% - Accent5 2 2 2 2 2 2 2 2 8" xfId="4951"/>
    <cellStyle name="40% - Accent1 14" xfId="4952"/>
    <cellStyle name="40% - Accent5 2 2 2 2 2 2 2 9" xfId="4953"/>
    <cellStyle name="40% - Accent5 2 2 2 2 2 2 9" xfId="4954"/>
    <cellStyle name="40% - Accent5 2 2 2 2 2 10" xfId="4955"/>
    <cellStyle name="40% - Accent5 2 2 2 2 10" xfId="4956"/>
    <cellStyle name="40% - Accent5 2 2 2 11" xfId="4957"/>
    <cellStyle name="40% - Accent5 2 2 11" xfId="4958"/>
    <cellStyle name="40% - Accent5 2 15" xfId="4959"/>
    <cellStyle name="40% - Accent5 16" xfId="4960"/>
    <cellStyle name="Accent6 19" xfId="4961"/>
    <cellStyle name="Accent6 2 18" xfId="4962"/>
    <cellStyle name="Accent6 2 2 14" xfId="4963"/>
    <cellStyle name="Accent6 2 2 2 14" xfId="4964"/>
    <cellStyle name="Accent6 2 2 2 2 13" xfId="4965"/>
    <cellStyle name="Accent6 2 2 2 2 2 13" xfId="4966"/>
    <cellStyle name="Accent6 2 2 2 2 2 2 12" xfId="4967"/>
    <cellStyle name="Accent6 2 2 2 2 2 2 2 12" xfId="4968"/>
    <cellStyle name="Accent6 2 2 2 2 2 2 2 2 11" xfId="4969"/>
    <cellStyle name="Accent6 2 2 2 2 2 2 2 2 2 11" xfId="4970"/>
    <cellStyle name="Linked Cell 13" xfId="4971"/>
    <cellStyle name="Accent6 2 2 2 2 2 2 2 2 2 2 11" xfId="4972"/>
    <cellStyle name="Linked Cell 2 12" xfId="4973"/>
    <cellStyle name="Linked Cell 2 2 8" xfId="4974"/>
    <cellStyle name="Linked Cell 2 2 2 8" xfId="4975"/>
    <cellStyle name="Linked Cell 2 2 2 2 7" xfId="4976"/>
    <cellStyle name="Linked Cell 2 2 2 2 2 7" xfId="4977"/>
    <cellStyle name="Linked Cell 2 2 2 2 2 2 6" xfId="4978"/>
    <cellStyle name="Linked Cell 2 2 2 2 2 2 2 6" xfId="4979"/>
    <cellStyle name="Linked Cell 2 2 2 2 2 2 2 2 5" xfId="4980"/>
    <cellStyle name="Linked Cell 2 2 2 2 2 2 2 2 2 5" xfId="4981"/>
    <cellStyle name="Linked Cell 2 2 2 2 2 2 2 2 2 2 5" xfId="4982"/>
    <cellStyle name="Heading 1 15" xfId="4983"/>
    <cellStyle name="Heading 1 2 14" xfId="4984"/>
    <cellStyle name="Heading 1 2 2 10" xfId="4985"/>
    <cellStyle name="Heading 1 2 2 2 10" xfId="4986"/>
    <cellStyle name="Heading 1 2 2 2 2 9" xfId="4987"/>
    <cellStyle name="Heading 1 2 2 2 2 2 9" xfId="4988"/>
    <cellStyle name="Heading 1 2 2 2 2 2 2 8" xfId="4989"/>
    <cellStyle name="Heading 1 2 2 2 2 2 2 2 8" xfId="4990"/>
    <cellStyle name="Heading 1 2 2 2 2 2 2 2 2 7" xfId="4991"/>
    <cellStyle name="Heading 1 2 2 2 2 2 2 2 2 2 7" xfId="4992"/>
    <cellStyle name="Heading 1 2 2 2 2 2 2 2 2 2 2 7" xfId="4993"/>
    <cellStyle name="20% - Accent6 2 2 2 2 2 2 2 2 2 2 6" xfId="4994"/>
    <cellStyle name="20% - Accent6 2 2 2 2 2 2 2 2 2 6" xfId="4995"/>
    <cellStyle name="20% - Accent6 2 2 2 2 2 2 2 2 6" xfId="4996"/>
    <cellStyle name="20% - Accent6 2 2 2 2 2 2 2 7" xfId="4997"/>
    <cellStyle name="20% - Accent6 2 2 2 2 2 2 7" xfId="4998"/>
    <cellStyle name="20% - Accent6 2 2 2 2 2 8" xfId="4999"/>
    <cellStyle name="20% - Accent6 2 2 2 2 8" xfId="5000"/>
    <cellStyle name="20% - Accent6 2 2 2 9" xfId="5001"/>
    <cellStyle name="20% - Accent6 2 2 9" xfId="5002"/>
    <cellStyle name="20% - Accent6 2 13" xfId="5003"/>
    <cellStyle name="20% - Accent6 14" xfId="5004"/>
    <cellStyle name="60% - Accent1 2 2 2 2 2 2 2 2 2 2 10" xfId="5005"/>
    <cellStyle name="60% - Accent1 2 2 2 2 2 2 2 2 2 10" xfId="5006"/>
    <cellStyle name="Neutral 13" xfId="5007"/>
    <cellStyle name="60% - Accent1 2 2 2 2 2 2 2 2 10" xfId="5008"/>
    <cellStyle name="Neutral 2 12" xfId="5009"/>
    <cellStyle name="Neutral 2 2 8" xfId="5010"/>
    <cellStyle name="Neutral 2 2 2 8" xfId="5011"/>
    <cellStyle name="Neutral 2 2 2 2 7" xfId="5012"/>
    <cellStyle name="Neutral 2 2 2 2 2 7" xfId="5013"/>
    <cellStyle name="Neutral 2 2 2 2 2 2 6" xfId="5014"/>
    <cellStyle name="Neutral 2 2 2 2 2 2 2 6" xfId="5015"/>
    <cellStyle name="Neutral 2 2 2 2 2 2 2 2 5" xfId="5016"/>
    <cellStyle name="Neutral 2 2 2 2 2 2 2 2 2 5" xfId="5017"/>
    <cellStyle name="Neutral 2 2 2 2 2 2 2 2 2 2 5" xfId="5018"/>
    <cellStyle name="Check Cell 17" xfId="5019"/>
    <cellStyle name="60% - Accent1 2 2 2 2 2 2 2 11" xfId="5020"/>
    <cellStyle name="Check Cell 2 16" xfId="5021"/>
    <cellStyle name="Check Cell 2 2 12" xfId="5022"/>
    <cellStyle name="40% - Accent4 2 2 2 2 2 2 2 2 2 2 8" xfId="5023"/>
    <cellStyle name="40% - Accent4 2 2 2 2 2 2 2 2 2 8" xfId="5024"/>
    <cellStyle name="40% - Accent4 2 2 2 2 2 2 2 2 8" xfId="5025"/>
    <cellStyle name="40% - Accent4 2 2 2 2 2 2 2 9" xfId="5026"/>
    <cellStyle name="40% - Accent4 2 2 2 2 2 2 9" xfId="5027"/>
    <cellStyle name="40% - Accent4 2 2 2 2 2 10" xfId="5028"/>
    <cellStyle name="40% - Accent4 2 2 2 2 10" xfId="5029"/>
    <cellStyle name="40% - Accent4 2 2 2 11" xfId="5030"/>
    <cellStyle name="40% - Accent4 2 2 11" xfId="5031"/>
    <cellStyle name="40% - Accent4 2 15" xfId="5032"/>
    <cellStyle name="Check Cell 2 2 2 12" xfId="5033"/>
    <cellStyle name="40% - Accent4 16" xfId="5034"/>
    <cellStyle name="Check Cell 2 2 2 2 11" xfId="5035"/>
    <cellStyle name="Check Cell 2 2 2 2 2 11" xfId="5036"/>
    <cellStyle name="Check Cell 2 2 2 2 2 2 10" xfId="5037"/>
    <cellStyle name="Check Cell 2 2 2 2 2 2 2 10" xfId="5038"/>
    <cellStyle name="Check Cell 2 2 2 2 2 2 2 2 9" xfId="5039"/>
    <cellStyle name="Check Cell 2 2 2 2 2 2 2 2 2 9" xfId="5040"/>
    <cellStyle name="Check Cell 2 2 2 2 2 2 2 2 2 2 9" xfId="5041"/>
    <cellStyle name="60% - Accent1 2 2 2 2 2 2 11" xfId="5042"/>
    <cellStyle name="Heading 2 15" xfId="5043"/>
    <cellStyle name="60% - Accent1 2 2 2 2 2 12" xfId="5044"/>
    <cellStyle name="Heading 2 2 14" xfId="5045"/>
    <cellStyle name="Heading 2 2 2 10" xfId="5046"/>
    <cellStyle name="Heading 2 2 2 2 10" xfId="5047"/>
    <cellStyle name="Heading 2 2 2 2 2 9" xfId="5048"/>
    <cellStyle name="Heading 2 2 2 2 2 2 9" xfId="5049"/>
    <cellStyle name="Heading 2 2 2 2 2 2 2 8" xfId="5050"/>
    <cellStyle name="Heading 2 2 2 2 2 2 2 2 8" xfId="5051"/>
    <cellStyle name="Heading 2 2 2 2 2 2 2 2 2 7" xfId="5052"/>
    <cellStyle name="20% - Accent5 2 2 2 2 2 2 2 2 2 2 6" xfId="5053"/>
    <cellStyle name="20% - Accent5 2 2 2 2 2 2 2 2 2 6" xfId="5054"/>
    <cellStyle name="20% - Accent5 2 2 2 2 2 2 2 2 6" xfId="5055"/>
    <cellStyle name="20% - Accent5 2 2 2 2 2 2 2 7" xfId="5056"/>
    <cellStyle name="20% - Accent5 2 2 2 2 2 2 7" xfId="5057"/>
    <cellStyle name="20% - Accent5 2 2 2 2 2 8" xfId="5058"/>
    <cellStyle name="20% - Accent5 2 2 2 2 8" xfId="5059"/>
    <cellStyle name="20% - Accent5 2 2 2 9" xfId="5060"/>
    <cellStyle name="20% - Accent5 2 2 9" xfId="5061"/>
    <cellStyle name="20% - Accent5 2 13" xfId="5062"/>
    <cellStyle name="Heading 2 2 2 2 2 2 2 2 2 2 7" xfId="5063"/>
    <cellStyle name="20% - Accent5 14" xfId="5064"/>
    <cellStyle name="Heading 2 2 2 2 2 2 2 2 2 2 2 7" xfId="5065"/>
    <cellStyle name="60% - Accent1 2 2 2 2 12" xfId="5066"/>
    <cellStyle name="60% - Accent1 2 2 2 13" xfId="5067"/>
    <cellStyle name="60% - Accent1 2 2 13" xfId="5068"/>
    <cellStyle name="60% - Accent1 2 17" xfId="5069"/>
    <cellStyle name="60% - Accent1 18" xfId="5070"/>
    <cellStyle name="Normal 2 13" xfId="5071"/>
    <cellStyle name="Normal 2 2 8" xfId="5072"/>
    <cellStyle name="Normal 2 2 2 8" xfId="5073"/>
    <cellStyle name="Normal 2 2 2 2 7" xfId="5074"/>
    <cellStyle name="Normal 2 2 2 2 2 7" xfId="5075"/>
    <cellStyle name="Normal 2 2 2 2 2 2 6" xfId="5076"/>
    <cellStyle name="Normal 2 2 2 2 2 2 2 6" xfId="5077"/>
    <cellStyle name="Normal 2 2 2 2 2 2 2 2 5" xfId="5078"/>
    <cellStyle name="Normal 2 2 2 2 2 2 2 2 2 5" xfId="5079"/>
    <cellStyle name="Normal 2 2 2 2 2 2 2 2 2 2 5" xfId="5080"/>
    <cellStyle name="Normal 2 3 5" xfId="5081"/>
    <cellStyle name="Normal 3 5" xfId="5082"/>
    <cellStyle name="Bad 19" xfId="5083"/>
    <cellStyle name="Bad 2 18" xfId="5084"/>
    <cellStyle name="Bad 2 2 14" xfId="5085"/>
    <cellStyle name="Bad 2 2 2 14" xfId="5086"/>
    <cellStyle name="Bad 2 2 2 2 13" xfId="5087"/>
    <cellStyle name="Bad 2 2 2 2 2 13" xfId="5088"/>
    <cellStyle name="Bad 2 2 2 2 2 2 12" xfId="5089"/>
    <cellStyle name="Bad 2 2 2 2 2 2 2 12" xfId="5090"/>
    <cellStyle name="Bad 2 2 2 2 2 2 2 2 11" xfId="5091"/>
    <cellStyle name="Bad 2 2 2 2 2 2 2 2 2 11" xfId="5092"/>
    <cellStyle name="40% - Accent3 2 2 2 2 2 2 2 2 2 2 8" xfId="5093"/>
    <cellStyle name="Note 19" xfId="5094"/>
    <cellStyle name="40% - Accent3 2 2 2 2 2 2 2 2 2 8" xfId="5095"/>
    <cellStyle name="40% - Accent3 2 2 2 2 2 2 2 2 8" xfId="5096"/>
    <cellStyle name="40% - Accent3 2 2 2 2 2 2 2 9" xfId="5097"/>
    <cellStyle name="40% - Accent3 2 2 2 2 2 2 9" xfId="5098"/>
    <cellStyle name="40% - Accent3 2 2 2 2 2 10" xfId="5099"/>
    <cellStyle name="40% - Accent3 2 2 2 2 10" xfId="5100"/>
    <cellStyle name="40% - Accent3 2 2 2 11" xfId="5101"/>
    <cellStyle name="20% - Accent4 2 2 2 2 2 2 2 2 2 2 6" xfId="5102"/>
    <cellStyle name="20% - Accent4 2 2 2 2 2 2 2 2 2 6" xfId="5103"/>
    <cellStyle name="20% - Accent4 2 2 2 2 2 2 2 2 6" xfId="5104"/>
    <cellStyle name="20% - Accent4 2 2 2 2 2 2 2 7" xfId="5105"/>
    <cellStyle name="20% - Accent4 2 2 2 2 2 2 7" xfId="5106"/>
    <cellStyle name="20% - Accent4 2 2 2 2 2 8" xfId="5107"/>
    <cellStyle name="20% - Accent4 2 2 2 2 8" xfId="5108"/>
    <cellStyle name="20% - Accent4 2 2 2 9" xfId="5109"/>
    <cellStyle name="Note 2 5" xfId="5110"/>
    <cellStyle name="20% - Accent4 2 2 9" xfId="5111"/>
    <cellStyle name="20% - Accent4 2 13" xfId="5112"/>
    <cellStyle name="40% - Accent3 2 2 11" xfId="5113"/>
    <cellStyle name="20% - Accent4 14" xfId="5114"/>
    <cellStyle name="Heading 3 15" xfId="5115"/>
    <cellStyle name="40% - Accent3 2 15" xfId="5116"/>
    <cellStyle name="Heading 3 2 14" xfId="5117"/>
    <cellStyle name="Output 13" xfId="5118"/>
    <cellStyle name="Heading 3 2 2 10" xfId="5119"/>
    <cellStyle name="Output 2 12" xfId="5120"/>
    <cellStyle name="Output 2 2 8" xfId="5121"/>
    <cellStyle name="Output 2 2 2 8" xfId="5122"/>
    <cellStyle name="Output 2 2 2 2 7" xfId="5123"/>
    <cellStyle name="Output 2 2 2 2 2 7" xfId="5124"/>
    <cellStyle name="Output 2 2 2 2 2 2 6" xfId="5125"/>
    <cellStyle name="Output 2 2 2 2 2 2 2 6" xfId="5126"/>
    <cellStyle name="Output 2 2 2 2 2 2 2 2 5" xfId="5127"/>
    <cellStyle name="Output 2 2 2 2 2 2 2 2 2 5" xfId="5128"/>
    <cellStyle name="Output 2 2 2 2 2 2 2 2 2 2 5" xfId="5129"/>
    <cellStyle name="Heading 3 2 2 2 10" xfId="5130"/>
    <cellStyle name="Heading 3 2 2 2 2 9" xfId="5131"/>
    <cellStyle name="Heading 3 2 2 2 2 2 9" xfId="5132"/>
    <cellStyle name="Heading 3 2 2 2 2 2 2 8" xfId="5133"/>
    <cellStyle name="Heading 3 2 2 2 2 2 2 2 8" xfId="5134"/>
    <cellStyle name="Heading 3 2 2 2 2 2 2 2 2 7" xfId="5135"/>
    <cellStyle name="Heading 3 2 2 2 2 2 2 2 2 2 7" xfId="5136"/>
    <cellStyle name="Heading 3 2 2 2 2 2 2 2 2 2 2 7" xfId="5137"/>
    <cellStyle name="Bad 2 2 2 2 2 2 2 2 2 2 11" xfId="5138"/>
    <cellStyle name="40% - Accent3 16" xfId="5139"/>
    <cellStyle name="Explanatory Text 17" xfId="5140"/>
    <cellStyle name="Explanatory Text 2 16" xfId="5141"/>
    <cellStyle name="Explanatory Text 2 2 12" xfId="5142"/>
    <cellStyle name="Explanatory Text 2 2 2 12" xfId="5143"/>
    <cellStyle name="Explanatory Text 2 2 2 2 11" xfId="5144"/>
    <cellStyle name="Explanatory Text 2 2 2 2 2 11" xfId="5145"/>
    <cellStyle name="Explanatory Text 2 2 2 2 2 2 10" xfId="5146"/>
    <cellStyle name="Explanatory Text 2 2 2 2 2 2 2 10" xfId="5147"/>
    <cellStyle name="Explanatory Text 2 2 2 2 2 2 2 2 9" xfId="5148"/>
    <cellStyle name="Explanatory Text 2 2 2 2 2 2 2 2 2 9" xfId="5149"/>
    <cellStyle name="Explanatory Text 2 2 2 2 2 2 2 2 2 2 9" xfId="5150"/>
    <cellStyle name="40% - Accent6 2 2 2 2 2 2 2 2 2 2 10" xfId="5151"/>
    <cellStyle name="40% - Accent6 2 2 2 2 2 2 2 2 2 10" xfId="5152"/>
    <cellStyle name="40% - Accent6 2 2 2 2 2 2 2 2 10" xfId="5153"/>
    <cellStyle name="40% - Accent6 2 2 2 2 2 2 2 11" xfId="5154"/>
    <cellStyle name="40% - Accent6 2 2 2 2 2 2 11" xfId="5155"/>
    <cellStyle name="40% - Accent6 2 2 2 2 2 12" xfId="5156"/>
    <cellStyle name="40% - Accent6 2 2 2 2 12" xfId="5157"/>
    <cellStyle name="40% - Accent6 2 2 2 13" xfId="5158"/>
    <cellStyle name="40% - Accent6 2 2 13" xfId="5159"/>
    <cellStyle name="40% - Accent6 2 17" xfId="5160"/>
    <cellStyle name="20% - Accent3 2 2 2 2 2 2 2 2 2 2 6" xfId="5161"/>
    <cellStyle name="20% - Accent3 2 2 2 2 2 2 2 2 2 6" xfId="5162"/>
    <cellStyle name="20% - Accent3 2 2 2 2 2 2 2 2 6" xfId="5163"/>
    <cellStyle name="20% - Accent3 2 2 2 2 2 2 2 7" xfId="5164"/>
    <cellStyle name="Title 12" xfId="5165"/>
    <cellStyle name="Title 2 8" xfId="5166"/>
    <cellStyle name="Title 2 2 8" xfId="5167"/>
    <cellStyle name="Title 2 2 2 7" xfId="5168"/>
    <cellStyle name="Title 2 2 2 2 7" xfId="5169"/>
    <cellStyle name="Title 2 2 2 2 2 6" xfId="5170"/>
    <cellStyle name="Title 2 2 2 2 2 2 6" xfId="5171"/>
    <cellStyle name="Title 2 2 2 2 2 2 2 5" xfId="5172"/>
    <cellStyle name="Title 2 2 2 2 2 2 2 2 5" xfId="5173"/>
    <cellStyle name="Title 2 2 2 2 2 2 2 2 2 5" xfId="5174"/>
    <cellStyle name="20% - Accent3 2 2 2 2 2 2 7" xfId="5175"/>
    <cellStyle name="20% - Accent3 2 2 2 2 2 8" xfId="5176"/>
    <cellStyle name="20% - Accent3 2 2 2 2 8" xfId="5177"/>
    <cellStyle name="20% - Accent3 2 2 2 9" xfId="5178"/>
    <cellStyle name="20% - Accent3 2 2 9" xfId="5179"/>
    <cellStyle name="20% - Accent3 2 13" xfId="5180"/>
    <cellStyle name="20% - Accent3 14" xfId="5181"/>
    <cellStyle name="40% - Accent6 18" xfId="5182"/>
    <cellStyle name="Heading 4 15" xfId="5183"/>
    <cellStyle name="Heading 4 2 14" xfId="5184"/>
    <cellStyle name="Heading 4 2 2 10" xfId="5185"/>
    <cellStyle name="Heading 4 2 2 2 10" xfId="5186"/>
    <cellStyle name="Heading 4 2 2 2 2 9" xfId="5187"/>
    <cellStyle name="Heading 4 2 2 2 2 2 9" xfId="5188"/>
    <cellStyle name="Heading 4 2 2 2 2 2 2 8" xfId="5189"/>
    <cellStyle name="Heading 4 2 2 2 2 2 2 2 8" xfId="5190"/>
    <cellStyle name="Heading 4 2 2 2 2 2 2 2 2 7" xfId="5191"/>
    <cellStyle name="Heading 4 2 2 2 2 2 2 2 2 2 7" xfId="5192"/>
    <cellStyle name="Heading 4 2 2 2 2 2 2 2 2 2 2 7" xfId="5193"/>
    <cellStyle name="Total 13" xfId="5194"/>
    <cellStyle name="Total 2 12" xfId="5195"/>
    <cellStyle name="Total 2 2 8" xfId="5196"/>
    <cellStyle name="Total 2 2 2 8" xfId="5197"/>
    <cellStyle name="Total 2 2 2 2 7" xfId="5198"/>
    <cellStyle name="Total 2 2 2 2 2 7" xfId="5199"/>
    <cellStyle name="Total 2 2 2 2 2 2 6" xfId="5200"/>
    <cellStyle name="Total 2 2 2 2 2 2 2 6" xfId="5201"/>
    <cellStyle name="Total 2 2 2 2 2 2 2 2 5" xfId="5202"/>
    <cellStyle name="Total 2 2 2 2 2 2 2 2 2 5" xfId="5203"/>
    <cellStyle name="Total 2 2 2 2 2 2 2 2 2 2 5" xfId="5204"/>
    <cellStyle name="40% - Accent2 2 2 2 2 2 2 2 2 2 2 8" xfId="5205"/>
    <cellStyle name="40% - Accent2 2 2 2 2 2 2 2 2 2 8" xfId="5206"/>
    <cellStyle name="40% - Accent2 2 2 2 2 2 2 2 2 8" xfId="5207"/>
    <cellStyle name="40% - Accent2 2 2 2 2 2 2 2 9" xfId="5208"/>
    <cellStyle name="40% - Accent2 2 2 2 2 2 2 9" xfId="5209"/>
    <cellStyle name="40% - Accent2 2 2 2 2 2 10" xfId="5210"/>
    <cellStyle name="40% - Accent2 2 2 2 2 10" xfId="5211"/>
    <cellStyle name="40% - Accent2 2 2 2 11" xfId="5212"/>
    <cellStyle name="40% - Accent2 2 2 11" xfId="5213"/>
    <cellStyle name="40% - Accent2 2 15" xfId="5214"/>
    <cellStyle name="40% - Accent2 16" xfId="5215"/>
    <cellStyle name="20% - Accent2 2 2 2 2 2 2 2 2 2 2 6" xfId="5216"/>
    <cellStyle name="20% - Accent2 2 2 2 2 2 2 2 2 2 6" xfId="5217"/>
    <cellStyle name="20% - Accent2 2 2 2 2 2 2 2 2 6" xfId="5218"/>
    <cellStyle name="20% - Accent2 2 2 2 2 2 2 2 7" xfId="5219"/>
    <cellStyle name="20% - Accent2 2 2 2 2 2 2 7" xfId="5220"/>
    <cellStyle name="20% - Accent2 2 2 2 2 2 8" xfId="5221"/>
    <cellStyle name="20% - Accent2 2 2 2 2 8" xfId="5222"/>
    <cellStyle name="20% - Accent2 2 2 2 9" xfId="5223"/>
    <cellStyle name="20% - Accent2 2 2 9" xfId="5224"/>
    <cellStyle name="20% - Accent2 2 13" xfId="5225"/>
    <cellStyle name="20% - Accent2 14" xfId="5226"/>
    <cellStyle name="Good 17" xfId="5227"/>
    <cellStyle name="Good 2 16" xfId="5228"/>
    <cellStyle name="Good 2 2 12" xfId="5229"/>
    <cellStyle name="Good 2 2 2 12" xfId="5230"/>
    <cellStyle name="Good 2 2 2 2 11" xfId="5231"/>
    <cellStyle name="Good 2 2 2 2 2 11" xfId="5232"/>
    <cellStyle name="Good 2 2 2 2 2 2 10" xfId="5233"/>
    <cellStyle name="Good 2 2 2 2 2 2 2 10" xfId="5234"/>
    <cellStyle name="Warning Text 13" xfId="5235"/>
    <cellStyle name="Good 2 2 2 2 2 2 2 2 9" xfId="5236"/>
    <cellStyle name="Warning Text 2 12" xfId="5237"/>
    <cellStyle name="Warning Text 2 2 8" xfId="5238"/>
    <cellStyle name="Warning Text 2 2 2 8" xfId="5239"/>
    <cellStyle name="Warning Text 2 2 2 2 7" xfId="5240"/>
    <cellStyle name="Warning Text 2 2 2 2 2 7" xfId="5241"/>
    <cellStyle name="Warning Text 2 2 2 2 2 2 6" xfId="5242"/>
    <cellStyle name="Warning Text 2 2 2 2 2 2 2 6" xfId="5243"/>
    <cellStyle name="Warning Text 2 2 2 2 2 2 2 2 5" xfId="5244"/>
    <cellStyle name="Warning Text 2 2 2 2 2 2 2 2 2 5" xfId="5245"/>
    <cellStyle name="Warning Text 2 2 2 2 2 2 2 2 2 2 5" xfId="5246"/>
    <cellStyle name="Good 2 2 2 2 2 2 2 2 2 9" xfId="5247"/>
    <cellStyle name="Good 2 2 2 2 2 2 2 2 2 2 9" xfId="5248"/>
    <cellStyle name="Calculation 19" xfId="5249"/>
    <cellStyle name="Calculation 2 18" xfId="5250"/>
    <cellStyle name="Calculation 2 2 14" xfId="5251"/>
    <cellStyle name="Input 15" xfId="5252"/>
    <cellStyle name="Calculation 2 2 2 14" xfId="5253"/>
    <cellStyle name="Input 2 14" xfId="5254"/>
    <cellStyle name="Input 2 2 10" xfId="5255"/>
    <cellStyle name="Input 2 2 2 10" xfId="5256"/>
    <cellStyle name="Input 2 2 2 2 9" xfId="5257"/>
    <cellStyle name="Input 2 2 2 2 2 9" xfId="5258"/>
    <cellStyle name="Input 2 2 2 2 2 2 8" xfId="5259"/>
    <cellStyle name="Input 2 2 2 2 2 2 2 8" xfId="5260"/>
    <cellStyle name="Input 2 2 2 2 2 2 2 2 7" xfId="5261"/>
    <cellStyle name="Input 2 2 2 2 2 2 2 2 2 7" xfId="5262"/>
    <cellStyle name="Input 2 2 2 2 2 2 2 2 2 2 7" xfId="5263"/>
    <cellStyle name="Calculation 2 2 2 2 13" xfId="5264"/>
    <cellStyle name="Calculation 2 2 2 2 2 13" xfId="5265"/>
    <cellStyle name="Calculation 2 2 2 2 2 2 12" xfId="5266"/>
    <cellStyle name="Calculation 2 2 2 2 2 2 2 12" xfId="5267"/>
    <cellStyle name="Calculation 2 2 2 2 2 2 2 2 11" xfId="5268"/>
    <cellStyle name="Calculation 2 2 2 2 2 2 2 2 2 11" xfId="5269"/>
    <cellStyle name="Calculation 2 2 2 2 2 2 2 2 2 2 11" xfId="5270"/>
    <cellStyle name="40% - Accent5 2 2 2 2 2 2 2 2 2 2 10" xfId="5271"/>
    <cellStyle name="40% - Accent5 2 2 2 2 2 2 2 2 2 10" xfId="5272"/>
    <cellStyle name="40% - Accent1 2 2 2 2 2 2 2 2 2 2 8" xfId="5273"/>
    <cellStyle name="40% - Accent1 2 2 2 2 2 2 2 2 2 8" xfId="5274"/>
    <cellStyle name="40% - Accent1 2 2 2 2 2 2 2 2 8" xfId="5275"/>
    <cellStyle name="20% - Accent1 2 2 2 2 2 2 2 2 2 2 6" xfId="5276"/>
    <cellStyle name="20% - Accent1 2 2 2 2 2 2 2 2 2 6" xfId="5277"/>
    <cellStyle name="20% - Accent1 2 2 2 2 2 2 2 2 6" xfId="5278"/>
    <cellStyle name="20% - Accent1 2 2 2 2 2 2 2 7" xfId="5279"/>
    <cellStyle name="20% - Accent1 2 2 2 2 2 2 7" xfId="5280"/>
    <cellStyle name="20% - Accent1 2 2 2 2 2 8" xfId="5281"/>
    <cellStyle name="20% - Accent1 2 2 2 2 8" xfId="5282"/>
    <cellStyle name="20% - Accent1 2 2 2 9" xfId="5283"/>
    <cellStyle name="20% - Accent1 2 2 9" xfId="5284"/>
    <cellStyle name="20% - Accent1 2 13" xfId="5285"/>
    <cellStyle name="40% - Accent1 2 2 2 2 2 2 2 9" xfId="5286"/>
    <cellStyle name="20% - Accent1 14" xfId="5287"/>
    <cellStyle name="Normal 12" xfId="5288"/>
    <cellStyle name="40% - Accent1 2 2 2 2 2 2 8" xfId="5289"/>
    <cellStyle name="40% - Accent1 2 2 2 2 2 9" xfId="5290"/>
    <cellStyle name="40% - Accent1 2 2 2 2 9" xfId="5291"/>
    <cellStyle name="40% - Accent1 2 2 2 10" xfId="5292"/>
    <cellStyle name="40% - Accent1 2 2 10" xfId="5293"/>
    <cellStyle name="40% - Accent1 2 14" xfId="5294"/>
    <cellStyle name="40% - Accent5 2 2 2 2 2 2 2 2 9" xfId="5295"/>
    <cellStyle name="40% - Accent1 15" xfId="5296"/>
    <cellStyle name="40% - Accent5 2 2 2 2 2 2 2 10" xfId="5297"/>
    <cellStyle name="40% - Accent5 2 2 2 2 2 2 10" xfId="5298"/>
    <cellStyle name="40% - Accent5 2 2 2 2 2 11" xfId="5299"/>
    <cellStyle name="40% - Accent5 2 2 2 2 11" xfId="5300"/>
    <cellStyle name="40% - Accent5 2 2 2 12" xfId="5301"/>
    <cellStyle name="40% - Accent5 2 2 12" xfId="5302"/>
    <cellStyle name="40% - Accent5 2 16" xfId="5303"/>
    <cellStyle name="40% - Accent5 17" xfId="5304"/>
    <cellStyle name="Linked Cell 14" xfId="5305"/>
    <cellStyle name="Linked Cell 2 13" xfId="5306"/>
    <cellStyle name="Linked Cell 2 2 9" xfId="5307"/>
    <cellStyle name="Linked Cell 2 2 2 9" xfId="5308"/>
    <cellStyle name="Linked Cell 2 2 2 2 8" xfId="5309"/>
    <cellStyle name="Linked Cell 2 2 2 2 2 8" xfId="5310"/>
    <cellStyle name="Linked Cell 2 2 2 2 2 2 7" xfId="5311"/>
    <cellStyle name="Linked Cell 2 2 2 2 2 2 2 7" xfId="5312"/>
    <cellStyle name="Linked Cell 2 2 2 2 2 2 2 2 6" xfId="5313"/>
    <cellStyle name="Linked Cell 2 2 2 2 2 2 2 2 2 6" xfId="5314"/>
    <cellStyle name="Linked Cell 2 2 2 2 2 2 2 2 2 2 6" xfId="5315"/>
    <cellStyle name="Heading 1 16" xfId="5316"/>
    <cellStyle name="Heading 1 2 15" xfId="5317"/>
    <cellStyle name="Heading 1 2 2 11" xfId="5318"/>
    <cellStyle name="Heading 1 2 2 2 11" xfId="5319"/>
    <cellStyle name="Heading 1 2 2 2 2 10" xfId="5320"/>
    <cellStyle name="Heading 1 2 2 2 2 2 10" xfId="5321"/>
    <cellStyle name="Heading 1 2 2 2 2 2 2 9" xfId="5322"/>
    <cellStyle name="Heading 1 2 2 2 2 2 2 2 9" xfId="5323"/>
    <cellStyle name="Heading 1 2 2 2 2 2 2 2 2 8" xfId="5324"/>
    <cellStyle name="Heading 1 2 2 2 2 2 2 2 2 2 8" xfId="5325"/>
    <cellStyle name="Heading 1 2 2 2 2 2 2 2 2 2 2 8" xfId="5326"/>
    <cellStyle name="20% - Accent6 2 2 2 2 2 2 2 2 2 2 7" xfId="5327"/>
    <cellStyle name="20% - Accent6 2 2 2 2 2 2 2 2 2 7" xfId="5328"/>
    <cellStyle name="20% - Accent6 2 2 2 2 2 2 2 2 7" xfId="5329"/>
    <cellStyle name="20% - Accent6 2 2 2 2 2 2 2 8" xfId="5330"/>
    <cellStyle name="20% - Accent6 2 2 2 2 2 2 8" xfId="5331"/>
    <cellStyle name="20% - Accent6 2 2 2 2 2 9" xfId="5332"/>
    <cellStyle name="20% - Accent6 2 2 2 2 9" xfId="5333"/>
    <cellStyle name="20% - Accent6 2 2 2 10" xfId="5334"/>
    <cellStyle name="20% - Accent6 2 2 10" xfId="5335"/>
    <cellStyle name="20% - Accent6 2 14" xfId="5336"/>
    <cellStyle name="20% - Accent6 15" xfId="5337"/>
    <cellStyle name="60% - Accent1 2 2 2 2 2 2 2 2 2 2 11" xfId="5338"/>
    <cellStyle name="60% - Accent1 2 2 2 2 2 2 2 2 2 11" xfId="5339"/>
    <cellStyle name="Neutral 14" xfId="5340"/>
    <cellStyle name="60% - Accent1 2 2 2 2 2 2 2 2 11" xfId="5341"/>
    <cellStyle name="Neutral 2 13" xfId="5342"/>
    <cellStyle name="Neutral 2 2 9" xfId="5343"/>
    <cellStyle name="Neutral 2 2 2 9" xfId="5344"/>
    <cellStyle name="Neutral 2 2 2 2 8" xfId="5345"/>
    <cellStyle name="Neutral 2 2 2 2 2 8" xfId="5346"/>
    <cellStyle name="Neutral 2 2 2 2 2 2 7" xfId="5347"/>
    <cellStyle name="Neutral 2 2 2 2 2 2 2 7" xfId="5348"/>
    <cellStyle name="Neutral 2 2 2 2 2 2 2 2 6" xfId="5349"/>
    <cellStyle name="Neutral 2 2 2 2 2 2 2 2 2 6" xfId="5350"/>
    <cellStyle name="Neutral 2 2 2 2 2 2 2 2 2 2 6" xfId="5351"/>
    <cellStyle name="Check Cell 18" xfId="5352"/>
    <cellStyle name="60% - Accent1 2 2 2 2 2 2 2 12" xfId="5353"/>
    <cellStyle name="Check Cell 2 17" xfId="5354"/>
    <cellStyle name="Check Cell 2 2 13" xfId="5355"/>
    <cellStyle name="40% - Accent4 2 2 2 2 2 2 2 2 2 2 9" xfId="5356"/>
    <cellStyle name="40% - Accent4 2 2 2 2 2 2 2 2 2 9" xfId="5357"/>
    <cellStyle name="40% - Accent4 2 2 2 2 2 2 2 2 9" xfId="5358"/>
    <cellStyle name="40% - Accent4 2 2 2 2 2 2 2 10" xfId="5359"/>
    <cellStyle name="40% - Accent4 2 2 2 2 2 2 10" xfId="5360"/>
    <cellStyle name="40% - Accent4 2 2 2 2 2 11" xfId="5361"/>
    <cellStyle name="40% - Accent4 2 2 2 2 11" xfId="5362"/>
    <cellStyle name="40% - Accent4 2 2 2 12" xfId="5363"/>
    <cellStyle name="40% - Accent4 2 2 12" xfId="5364"/>
    <cellStyle name="40% - Accent4 2 16" xfId="5365"/>
    <cellStyle name="Check Cell 2 2 2 13" xfId="5366"/>
    <cellStyle name="40% - Accent4 17" xfId="5367"/>
    <cellStyle name="Check Cell 2 2 2 2 12" xfId="5368"/>
    <cellStyle name="Check Cell 2 2 2 2 2 12" xfId="5369"/>
    <cellStyle name="Check Cell 2 2 2 2 2 2 11" xfId="5370"/>
    <cellStyle name="Check Cell 2 2 2 2 2 2 2 11" xfId="5371"/>
    <cellStyle name="Check Cell 2 2 2 2 2 2 2 2 10" xfId="5372"/>
    <cellStyle name="Check Cell 2 2 2 2 2 2 2 2 2 10" xfId="5373"/>
    <cellStyle name="Check Cell 2 2 2 2 2 2 2 2 2 2 10" xfId="5374"/>
    <cellStyle name="60% - Accent1 2 2 2 2 2 2 12" xfId="5375"/>
    <cellStyle name="Heading 2 16" xfId="5376"/>
    <cellStyle name="60% - Accent1 2 2 2 2 2 13" xfId="5377"/>
    <cellStyle name="Heading 2 2 15" xfId="5378"/>
    <cellStyle name="Heading 2 2 2 11" xfId="5379"/>
    <cellStyle name="Heading 2 2 2 2 11" xfId="5380"/>
    <cellStyle name="Heading 2 2 2 2 2 10" xfId="5381"/>
    <cellStyle name="Heading 2 2 2 2 2 2 10" xfId="5382"/>
    <cellStyle name="Heading 2 2 2 2 2 2 2 9" xfId="5383"/>
    <cellStyle name="Heading 2 2 2 2 2 2 2 2 9" xfId="5384"/>
    <cellStyle name="Heading 2 2 2 2 2 2 2 2 2 8" xfId="5385"/>
    <cellStyle name="20% - Accent5 2 2 2 2 2 2 2 2 2 2 7" xfId="5386"/>
    <cellStyle name="20% - Accent5 2 2 2 2 2 2 2 2 2 7" xfId="5387"/>
    <cellStyle name="20% - Accent5 2 2 2 2 2 2 2 2 7" xfId="5388"/>
    <cellStyle name="20% - Accent5 2 2 2 2 2 2 2 8" xfId="5389"/>
    <cellStyle name="20% - Accent5 2 2 2 2 2 2 8" xfId="5390"/>
    <cellStyle name="20% - Accent5 2 2 2 2 2 9" xfId="5391"/>
    <cellStyle name="20% - Accent5 2 2 2 2 9" xfId="5392"/>
    <cellStyle name="20% - Accent5 2 2 2 10" xfId="5393"/>
    <cellStyle name="20% - Accent5 2 2 10" xfId="5394"/>
    <cellStyle name="20% - Accent5 2 14" xfId="5395"/>
    <cellStyle name="Heading 2 2 2 2 2 2 2 2 2 2 8" xfId="5396"/>
    <cellStyle name="20% - Accent5 15" xfId="5397"/>
    <cellStyle name="Heading 2 2 2 2 2 2 2 2 2 2 2 8" xfId="5398"/>
    <cellStyle name="60% - Accent1 2 2 2 2 13" xfId="5399"/>
    <cellStyle name="60% - Accent1 2 2 2 14" xfId="5400"/>
    <cellStyle name="60% - Accent1 2 2 14" xfId="5401"/>
    <cellStyle name="60% - Accent1 2 18" xfId="5402"/>
    <cellStyle name="60% - Accent1 19" xfId="5403"/>
    <cellStyle name="Normal 2 14" xfId="5404"/>
    <cellStyle name="Normal 2 2 9" xfId="5405"/>
    <cellStyle name="Normal 2 2 2 9" xfId="5406"/>
    <cellStyle name="Normal 2 2 2 2 8" xfId="5407"/>
    <cellStyle name="Normal 2 2 2 2 2 8" xfId="5408"/>
    <cellStyle name="Normal 2 2 2 2 2 2 7" xfId="5409"/>
    <cellStyle name="Normal 2 2 2 2 2 2 2 7" xfId="5410"/>
    <cellStyle name="Normal 2 2 2 2 2 2 2 2 6" xfId="5411"/>
    <cellStyle name="Normal 2 2 2 2 2 2 2 2 2 6" xfId="5412"/>
    <cellStyle name="Normal 2 2 2 2 2 2 2 2 2 2 6" xfId="5413"/>
    <cellStyle name="Normal 2 3 6" xfId="5414"/>
    <cellStyle name="Normal 3 6" xfId="5415"/>
    <cellStyle name="40% - Accent3 2 2 2 2 2 2 2 2 2 2 9" xfId="5416"/>
    <cellStyle name="Note 20" xfId="5417"/>
    <cellStyle name="40% - Accent3 2 2 2 2 2 2 2 2 2 9" xfId="5418"/>
    <cellStyle name="40% - Accent3 2 2 2 2 2 2 2 2 9" xfId="5419"/>
    <cellStyle name="40% - Accent3 2 2 2 2 2 2 2 10" xfId="5420"/>
    <cellStyle name="40% - Accent3 2 2 2 2 2 2 10" xfId="5421"/>
    <cellStyle name="40% - Accent3 2 2 2 2 2 11" xfId="5422"/>
    <cellStyle name="40% - Accent3 2 2 2 2 11" xfId="5423"/>
    <cellStyle name="40% - Accent3 2 2 2 12" xfId="5424"/>
    <cellStyle name="20% - Accent4 2 2 2 2 2 2 2 2 2 2 7" xfId="5425"/>
    <cellStyle name="20% - Accent4 2 2 2 2 2 2 2 2 2 7" xfId="5426"/>
    <cellStyle name="20% - Accent4 2 2 2 2 2 2 2 2 7" xfId="5427"/>
    <cellStyle name="20% - Accent4 2 2 2 2 2 2 2 8" xfId="5428"/>
    <cellStyle name="20% - Accent4 2 2 2 2 2 2 8" xfId="5429"/>
    <cellStyle name="20% - Accent4 2 2 2 2 2 9" xfId="5430"/>
    <cellStyle name="20% - Accent4 2 2 2 2 9" xfId="5431"/>
    <cellStyle name="20% - Accent4 2 2 2 10" xfId="5432"/>
    <cellStyle name="Note 2 6" xfId="5433"/>
    <cellStyle name="20% - Accent4 2 2 10" xfId="5434"/>
    <cellStyle name="20% - Accent4 2 14" xfId="5435"/>
    <cellStyle name="40% - Accent3 2 2 12" xfId="5436"/>
    <cellStyle name="20% - Accent4 15" xfId="5437"/>
    <cellStyle name="Heading 3 16" xfId="5438"/>
    <cellStyle name="40% - Accent3 2 16" xfId="5439"/>
    <cellStyle name="Heading 3 2 15" xfId="5440"/>
    <cellStyle name="Output 14" xfId="5441"/>
    <cellStyle name="Heading 3 2 2 11" xfId="5442"/>
    <cellStyle name="Output 2 13" xfId="5443"/>
    <cellStyle name="Output 2 2 9" xfId="5444"/>
    <cellStyle name="Output 2 2 2 9" xfId="5445"/>
    <cellStyle name="Output 2 2 2 2 8" xfId="5446"/>
    <cellStyle name="Output 2 2 2 2 2 8" xfId="5447"/>
    <cellStyle name="Output 2 2 2 2 2 2 7" xfId="5448"/>
    <cellStyle name="Output 2 2 2 2 2 2 2 7" xfId="5449"/>
    <cellStyle name="Output 2 2 2 2 2 2 2 2 6" xfId="5450"/>
    <cellStyle name="Output 2 2 2 2 2 2 2 2 2 6" xfId="5451"/>
    <cellStyle name="Output 2 2 2 2 2 2 2 2 2 2 6" xfId="5452"/>
    <cellStyle name="Heading 3 2 2 2 11" xfId="5453"/>
    <cellStyle name="Heading 3 2 2 2 2 10" xfId="5454"/>
    <cellStyle name="Heading 3 2 2 2 2 2 10" xfId="5455"/>
    <cellStyle name="Heading 3 2 2 2 2 2 2 9" xfId="5456"/>
    <cellStyle name="Heading 3 2 2 2 2 2 2 2 9" xfId="5457"/>
    <cellStyle name="Heading 3 2 2 2 2 2 2 2 2 8" xfId="5458"/>
    <cellStyle name="Heading 3 2 2 2 2 2 2 2 2 2 8" xfId="5459"/>
    <cellStyle name="Heading 3 2 2 2 2 2 2 2 2 2 2 8" xfId="5460"/>
    <cellStyle name="40% - Accent3 17" xfId="5461"/>
    <cellStyle name="Explanatory Text 18" xfId="5462"/>
    <cellStyle name="Explanatory Text 2 17" xfId="5463"/>
    <cellStyle name="Explanatory Text 2 2 13" xfId="5464"/>
    <cellStyle name="Explanatory Text 2 2 2 13" xfId="5465"/>
    <cellStyle name="Explanatory Text 2 2 2 2 12" xfId="5466"/>
    <cellStyle name="Explanatory Text 2 2 2 2 2 12" xfId="5467"/>
    <cellStyle name="Explanatory Text 2 2 2 2 2 2 11" xfId="5468"/>
    <cellStyle name="Explanatory Text 2 2 2 2 2 2 2 11" xfId="5469"/>
    <cellStyle name="Explanatory Text 2 2 2 2 2 2 2 2 10" xfId="5470"/>
    <cellStyle name="Explanatory Text 2 2 2 2 2 2 2 2 2 10" xfId="5471"/>
    <cellStyle name="Explanatory Text 2 2 2 2 2 2 2 2 2 2 10" xfId="5472"/>
    <cellStyle name="40% - Accent6 2 2 2 2 2 2 2 2 2 2 11" xfId="5473"/>
    <cellStyle name="40% - Accent6 2 2 2 2 2 2 2 2 2 11" xfId="5474"/>
    <cellStyle name="40% - Accent6 2 2 2 2 2 2 2 2 11" xfId="5475"/>
    <cellStyle name="40% - Accent6 2 2 2 2 2 2 2 12" xfId="5476"/>
    <cellStyle name="40% - Accent6 2 2 2 2 2 2 12" xfId="5477"/>
    <cellStyle name="40% - Accent6 2 2 2 2 2 13" xfId="5478"/>
    <cellStyle name="40% - Accent6 2 2 2 2 13" xfId="5479"/>
    <cellStyle name="40% - Accent6 2 2 2 14" xfId="5480"/>
    <cellStyle name="40% - Accent6 2 2 14" xfId="5481"/>
    <cellStyle name="40% - Accent6 2 18" xfId="5482"/>
    <cellStyle name="20% - Accent3 2 2 2 2 2 2 2 2 2 2 7" xfId="5483"/>
    <cellStyle name="20% - Accent3 2 2 2 2 2 2 2 2 2 7" xfId="5484"/>
    <cellStyle name="20% - Accent3 2 2 2 2 2 2 2 2 7" xfId="5485"/>
    <cellStyle name="20% - Accent3 2 2 2 2 2 2 2 8" xfId="5486"/>
    <cellStyle name="Title 13" xfId="5487"/>
    <cellStyle name="Title 2 9" xfId="5488"/>
    <cellStyle name="Title 2 2 9" xfId="5489"/>
    <cellStyle name="Title 2 2 2 8" xfId="5490"/>
    <cellStyle name="Title 2 2 2 2 8" xfId="5491"/>
    <cellStyle name="Title 2 2 2 2 2 7" xfId="5492"/>
    <cellStyle name="Title 2 2 2 2 2 2 7" xfId="5493"/>
    <cellStyle name="Title 2 2 2 2 2 2 2 6" xfId="5494"/>
    <cellStyle name="Title 2 2 2 2 2 2 2 2 6" xfId="5495"/>
    <cellStyle name="Title 2 2 2 2 2 2 2 2 2 6" xfId="5496"/>
    <cellStyle name="20% - Accent3 2 2 2 2 2 2 8" xfId="5497"/>
    <cellStyle name="20% - Accent3 2 2 2 2 2 9" xfId="5498"/>
    <cellStyle name="20% - Accent3 2 2 2 2 9" xfId="5499"/>
    <cellStyle name="20% - Accent3 2 2 2 10" xfId="5500"/>
    <cellStyle name="20% - Accent3 2 2 10" xfId="5501"/>
    <cellStyle name="20% - Accent3 2 14" xfId="5502"/>
    <cellStyle name="20% - Accent3 15" xfId="5503"/>
    <cellStyle name="40% - Accent6 19" xfId="5504"/>
    <cellStyle name="Heading 4 16" xfId="5505"/>
    <cellStyle name="Heading 4 2 15" xfId="5506"/>
    <cellStyle name="Heading 4 2 2 11" xfId="5507"/>
    <cellStyle name="Heading 4 2 2 2 11" xfId="5508"/>
    <cellStyle name="Heading 4 2 2 2 2 10" xfId="5509"/>
    <cellStyle name="Heading 4 2 2 2 2 2 10" xfId="5510"/>
    <cellStyle name="Heading 4 2 2 2 2 2 2 9" xfId="5511"/>
    <cellStyle name="Heading 4 2 2 2 2 2 2 2 9" xfId="5512"/>
    <cellStyle name="Heading 4 2 2 2 2 2 2 2 2 8" xfId="5513"/>
    <cellStyle name="Heading 4 2 2 2 2 2 2 2 2 2 8" xfId="5514"/>
    <cellStyle name="Heading 4 2 2 2 2 2 2 2 2 2 2 8" xfId="5515"/>
    <cellStyle name="Total 14" xfId="5516"/>
    <cellStyle name="Total 2 13" xfId="5517"/>
    <cellStyle name="Total 2 2 9" xfId="5518"/>
    <cellStyle name="Total 2 2 2 9" xfId="5519"/>
    <cellStyle name="Total 2 2 2 2 8" xfId="5520"/>
    <cellStyle name="Total 2 2 2 2 2 8" xfId="5521"/>
    <cellStyle name="Total 2 2 2 2 2 2 7" xfId="5522"/>
    <cellStyle name="Total 2 2 2 2 2 2 2 7" xfId="5523"/>
    <cellStyle name="Total 2 2 2 2 2 2 2 2 6" xfId="5524"/>
    <cellStyle name="Total 2 2 2 2 2 2 2 2 2 6" xfId="5525"/>
    <cellStyle name="Total 2 2 2 2 2 2 2 2 2 2 6" xfId="5526"/>
    <cellStyle name="40% - Accent2 2 2 2 2 2 2 2 2 2 2 9" xfId="5527"/>
    <cellStyle name="40% - Accent2 2 2 2 2 2 2 2 2 2 9" xfId="5528"/>
    <cellStyle name="40% - Accent2 2 2 2 2 2 2 2 2 9" xfId="5529"/>
    <cellStyle name="40% - Accent2 2 2 2 2 2 2 2 10" xfId="5530"/>
    <cellStyle name="40% - Accent2 2 2 2 2 2 2 10" xfId="5531"/>
    <cellStyle name="40% - Accent2 2 2 2 2 2 11" xfId="5532"/>
    <cellStyle name="40% - Accent2 2 2 2 2 11" xfId="5533"/>
    <cellStyle name="40% - Accent2 2 2 2 12" xfId="5534"/>
    <cellStyle name="40% - Accent2 2 2 12" xfId="5535"/>
    <cellStyle name="40% - Accent2 2 16" xfId="5536"/>
    <cellStyle name="40% - Accent2 17" xfId="5537"/>
    <cellStyle name="20% - Accent2 2 2 2 2 2 2 2 2 2 2 7" xfId="5538"/>
    <cellStyle name="20% - Accent2 2 2 2 2 2 2 2 2 2 7" xfId="5539"/>
    <cellStyle name="20% - Accent2 2 2 2 2 2 2 2 2 7" xfId="5540"/>
    <cellStyle name="20% - Accent2 2 2 2 2 2 2 2 8" xfId="5541"/>
    <cellStyle name="20% - Accent2 2 2 2 2 2 2 8" xfId="5542"/>
    <cellStyle name="20% - Accent2 2 2 2 2 2 9" xfId="5543"/>
    <cellStyle name="20% - Accent2 2 2 2 2 9" xfId="5544"/>
    <cellStyle name="20% - Accent2 2 2 2 10" xfId="5545"/>
    <cellStyle name="20% - Accent2 2 2 10" xfId="5546"/>
    <cellStyle name="20% - Accent2 2 14" xfId="5547"/>
    <cellStyle name="20% - Accent2 15" xfId="5548"/>
    <cellStyle name="Good 18" xfId="5549"/>
    <cellStyle name="Good 2 17" xfId="5550"/>
    <cellStyle name="Good 2 2 13" xfId="5551"/>
    <cellStyle name="Good 2 2 2 13" xfId="5552"/>
    <cellStyle name="Good 2 2 2 2 12" xfId="5553"/>
    <cellStyle name="Good 2 2 2 2 2 12" xfId="5554"/>
    <cellStyle name="Good 2 2 2 2 2 2 11" xfId="5555"/>
    <cellStyle name="Good 2 2 2 2 2 2 2 11" xfId="5556"/>
    <cellStyle name="Warning Text 14" xfId="5557"/>
    <cellStyle name="Good 2 2 2 2 2 2 2 2 10" xfId="5558"/>
    <cellStyle name="Warning Text 2 13" xfId="5559"/>
    <cellStyle name="Warning Text 2 2 9" xfId="5560"/>
    <cellStyle name="Warning Text 2 2 2 9" xfId="5561"/>
    <cellStyle name="Warning Text 2 2 2 2 8" xfId="5562"/>
    <cellStyle name="Warning Text 2 2 2 2 2 8" xfId="5563"/>
    <cellStyle name="Warning Text 2 2 2 2 2 2 7" xfId="5564"/>
    <cellStyle name="Warning Text 2 2 2 2 2 2 2 7" xfId="5565"/>
    <cellStyle name="Warning Text 2 2 2 2 2 2 2 2 6" xfId="5566"/>
    <cellStyle name="Warning Text 2 2 2 2 2 2 2 2 2 6" xfId="5567"/>
    <cellStyle name="Warning Text 2 2 2 2 2 2 2 2 2 2 6" xfId="5568"/>
    <cellStyle name="Good 2 2 2 2 2 2 2 2 2 10" xfId="5569"/>
    <cellStyle name="Good 2 2 2 2 2 2 2 2 2 2 10" xfId="5570"/>
    <cellStyle name="Input 16" xfId="5571"/>
    <cellStyle name="Input 2 15" xfId="5572"/>
    <cellStyle name="Input 2 2 11" xfId="5573"/>
    <cellStyle name="Input 2 2 2 11" xfId="5574"/>
    <cellStyle name="Input 2 2 2 2 10" xfId="5575"/>
    <cellStyle name="Input 2 2 2 2 2 10" xfId="5576"/>
    <cellStyle name="Input 2 2 2 2 2 2 9" xfId="5577"/>
    <cellStyle name="Input 2 2 2 2 2 2 2 9" xfId="5578"/>
    <cellStyle name="Input 2 2 2 2 2 2 2 2 8" xfId="5579"/>
    <cellStyle name="Input 2 2 2 2 2 2 2 2 2 8" xfId="5580"/>
    <cellStyle name="Input 2 2 2 2 2 2 2 2 2 2 8" xfId="5581"/>
    <cellStyle name="40% - Accent5 2 2 2 2 2 2 2 2 2 2 11" xfId="5582"/>
    <cellStyle name="40% - Accent5 2 2 2 2 2 2 2 2 2 11" xfId="5583"/>
    <cellStyle name="40% - Accent1 2 2 2 2 2 2 2 2 2 2 9" xfId="5584"/>
    <cellStyle name="40% - Accent1 2 2 2 2 2 2 2 2 2 9" xfId="5585"/>
    <cellStyle name="40% - Accent1 2 2 2 2 2 2 2 2 9" xfId="5586"/>
    <cellStyle name="20% - Accent1 2 2 2 2 2 2 2 2 2 2 7" xfId="5587"/>
    <cellStyle name="20% - Accent1 2 2 2 2 2 2 2 2 2 7" xfId="5588"/>
    <cellStyle name="20% - Accent1 2 2 2 2 2 2 2 2 7" xfId="5589"/>
    <cellStyle name="20% - Accent1 2 2 2 2 2 2 2 8" xfId="5590"/>
    <cellStyle name="20% - Accent1 2 2 2 2 2 2 8" xfId="5591"/>
    <cellStyle name="20% - Accent1 2 2 2 2 2 9" xfId="5592"/>
    <cellStyle name="20% - Accent1 2 2 2 2 9" xfId="5593"/>
    <cellStyle name="20% - Accent1 2 2 2 10" xfId="5594"/>
    <cellStyle name="20% - Accent1 2 2 10" xfId="5595"/>
    <cellStyle name="20% - Accent1 2 14" xfId="5596"/>
    <cellStyle name="40% - Accent1 2 2 2 2 2 2 2 10" xfId="5597"/>
    <cellStyle name="20% - Accent1 15" xfId="5598"/>
    <cellStyle name="Normal 15" xfId="5599"/>
    <cellStyle name="40% - Accent1 2 2 2 2 2 2 9" xfId="5600"/>
    <cellStyle name="40% - Accent1 2 2 2 2 2 10" xfId="5601"/>
    <cellStyle name="40% - Accent1 2 2 2 2 10" xfId="5602"/>
    <cellStyle name="40% - Accent1 2 2 2 11" xfId="5603"/>
    <cellStyle name="40% - Accent1 2 2 11" xfId="5604"/>
    <cellStyle name="40% - Accent1 2 15" xfId="5605"/>
    <cellStyle name="40% - Accent5 2 2 2 2 2 2 2 2 10" xfId="5606"/>
    <cellStyle name="40% - Accent1 16" xfId="5607"/>
    <cellStyle name="40% - Accent5 2 2 2 2 2 2 2 11" xfId="5608"/>
    <cellStyle name="40% - Accent5 2 2 2 2 2 2 11" xfId="5609"/>
    <cellStyle name="40% - Accent5 2 2 2 2 2 12" xfId="5610"/>
    <cellStyle name="40% - Accent5 2 2 2 2 12" xfId="5611"/>
    <cellStyle name="40% - Accent5 2 2 2 13" xfId="5612"/>
    <cellStyle name="40% - Accent5 2 2 13" xfId="5613"/>
    <cellStyle name="40% - Accent5 2 17" xfId="5614"/>
    <cellStyle name="40% - Accent5 18" xfId="5615"/>
    <cellStyle name="Linked Cell 15" xfId="5616"/>
    <cellStyle name="Linked Cell 2 14" xfId="5617"/>
    <cellStyle name="Linked Cell 2 2 10" xfId="5618"/>
    <cellStyle name="Linked Cell 2 2 2 10" xfId="5619"/>
    <cellStyle name="Linked Cell 2 2 2 2 9" xfId="5620"/>
    <cellStyle name="Linked Cell 2 2 2 2 2 9" xfId="5621"/>
    <cellStyle name="Linked Cell 2 2 2 2 2 2 8" xfId="5622"/>
    <cellStyle name="Linked Cell 2 2 2 2 2 2 2 8" xfId="5623"/>
    <cellStyle name="Linked Cell 2 2 2 2 2 2 2 2 7" xfId="5624"/>
    <cellStyle name="Linked Cell 2 2 2 2 2 2 2 2 2 7" xfId="5625"/>
    <cellStyle name="Linked Cell 2 2 2 2 2 2 2 2 2 2 7" xfId="5626"/>
    <cellStyle name="Heading 1 17" xfId="5627"/>
    <cellStyle name="Heading 1 2 16" xfId="5628"/>
    <cellStyle name="Heading 1 2 2 12" xfId="5629"/>
    <cellStyle name="Heading 1 2 2 2 12" xfId="5630"/>
    <cellStyle name="Heading 1 2 2 2 2 11" xfId="5631"/>
    <cellStyle name="Heading 1 2 2 2 2 2 11" xfId="5632"/>
    <cellStyle name="Heading 1 2 2 2 2 2 2 10" xfId="5633"/>
    <cellStyle name="Heading 1 2 2 2 2 2 2 2 10" xfId="5634"/>
    <cellStyle name="Heading 1 2 2 2 2 2 2 2 2 9" xfId="5635"/>
    <cellStyle name="Heading 1 2 2 2 2 2 2 2 2 2 9" xfId="5636"/>
    <cellStyle name="Heading 1 2 2 2 2 2 2 2 2 2 2 9" xfId="5637"/>
    <cellStyle name="20% - Accent6 2 2 2 2 2 2 2 2 2 2 8" xfId="5638"/>
    <cellStyle name="20% - Accent6 2 2 2 2 2 2 2 2 2 8" xfId="5639"/>
    <cellStyle name="20% - Accent6 2 2 2 2 2 2 2 2 8" xfId="5640"/>
    <cellStyle name="20% - Accent6 2 2 2 2 2 2 2 9" xfId="5641"/>
    <cellStyle name="20% - Accent6 2 2 2 2 2 2 9" xfId="5642"/>
    <cellStyle name="20% - Accent6 2 2 2 2 2 10" xfId="5643"/>
    <cellStyle name="20% - Accent6 2 2 2 2 10" xfId="5644"/>
    <cellStyle name="20% - Accent6 2 2 2 11" xfId="5645"/>
    <cellStyle name="20% - Accent6 2 2 11" xfId="5646"/>
    <cellStyle name="20% - Accent6 2 15" xfId="5647"/>
    <cellStyle name="20% - Accent6 16" xfId="5648"/>
    <cellStyle name="Neutral 15" xfId="5649"/>
    <cellStyle name="Neutral 2 14" xfId="5650"/>
    <cellStyle name="Neutral 2 2 10" xfId="5651"/>
    <cellStyle name="Neutral 2 2 2 10" xfId="5652"/>
    <cellStyle name="Neutral 2 2 2 2 9" xfId="5653"/>
    <cellStyle name="Neutral 2 2 2 2 2 9" xfId="5654"/>
    <cellStyle name="Neutral 2 2 2 2 2 2 8" xfId="5655"/>
    <cellStyle name="Neutral 2 2 2 2 2 2 2 8" xfId="5656"/>
    <cellStyle name="Neutral 2 2 2 2 2 2 2 2 7" xfId="5657"/>
    <cellStyle name="Neutral 2 2 2 2 2 2 2 2 2 7" xfId="5658"/>
    <cellStyle name="Neutral 2 2 2 2 2 2 2 2 2 2 7" xfId="5659"/>
    <cellStyle name="Check Cell 19" xfId="5660"/>
    <cellStyle name="Check Cell 2 18" xfId="5661"/>
    <cellStyle name="Check Cell 2 2 14" xfId="5662"/>
    <cellStyle name="40% - Accent4 2 2 2 2 2 2 2 2 2 2 10" xfId="5663"/>
    <cellStyle name="40% - Accent4 2 2 2 2 2 2 2 2 2 10" xfId="5664"/>
    <cellStyle name="40% - Accent4 2 2 2 2 2 2 2 2 10" xfId="5665"/>
    <cellStyle name="40% - Accent4 2 2 2 2 2 2 2 11" xfId="5666"/>
    <cellStyle name="40% - Accent4 2 2 2 2 2 2 11" xfId="5667"/>
    <cellStyle name="40% - Accent4 2 2 2 2 2 12" xfId="5668"/>
    <cellStyle name="40% - Accent4 2 2 2 2 12" xfId="5669"/>
    <cellStyle name="40% - Accent4 2 2 2 13" xfId="5670"/>
    <cellStyle name="40% - Accent4 2 2 13" xfId="5671"/>
    <cellStyle name="40% - Accent4 2 17" xfId="5672"/>
    <cellStyle name="Check Cell 2 2 2 14" xfId="5673"/>
    <cellStyle name="40% - Accent4 18" xfId="5674"/>
    <cellStyle name="Check Cell 2 2 2 2 13" xfId="5675"/>
    <cellStyle name="Check Cell 2 2 2 2 2 13" xfId="5676"/>
    <cellStyle name="Check Cell 2 2 2 2 2 2 12" xfId="5677"/>
    <cellStyle name="Check Cell 2 2 2 2 2 2 2 12" xfId="5678"/>
    <cellStyle name="Check Cell 2 2 2 2 2 2 2 2 11" xfId="5679"/>
    <cellStyle name="Check Cell 2 2 2 2 2 2 2 2 2 11" xfId="5680"/>
    <cellStyle name="Check Cell 2 2 2 2 2 2 2 2 2 2 11" xfId="5681"/>
    <cellStyle name="Heading 2 17" xfId="5682"/>
    <cellStyle name="Heading 2 2 16" xfId="5683"/>
    <cellStyle name="Heading 2 2 2 12" xfId="5684"/>
    <cellStyle name="Heading 2 2 2 2 12" xfId="5685"/>
    <cellStyle name="Heading 2 2 2 2 2 11" xfId="5686"/>
    <cellStyle name="Heading 2 2 2 2 2 2 11" xfId="5687"/>
    <cellStyle name="Heading 2 2 2 2 2 2 2 10" xfId="5688"/>
    <cellStyle name="Heading 2 2 2 2 2 2 2 2 10" xfId="5689"/>
    <cellStyle name="Heading 2 2 2 2 2 2 2 2 2 9" xfId="5690"/>
    <cellStyle name="20% - Accent5 2 2 2 2 2 2 2 2 2 2 8" xfId="5691"/>
    <cellStyle name="20% - Accent5 2 2 2 2 2 2 2 2 2 8" xfId="5692"/>
    <cellStyle name="20% - Accent5 2 2 2 2 2 2 2 2 8" xfId="5693"/>
    <cellStyle name="20% - Accent5 2 2 2 2 2 2 2 9" xfId="5694"/>
    <cellStyle name="20% - Accent5 2 2 2 2 2 2 9" xfId="5695"/>
    <cellStyle name="20% - Accent5 2 2 2 2 2 10" xfId="5696"/>
    <cellStyle name="20% - Accent5 2 2 2 2 10" xfId="5697"/>
    <cellStyle name="20% - Accent5 2 2 2 11" xfId="5698"/>
    <cellStyle name="20% - Accent5 2 2 11" xfId="5699"/>
    <cellStyle name="20% - Accent5 2 15" xfId="5700"/>
    <cellStyle name="Heading 2 2 2 2 2 2 2 2 2 2 9" xfId="5701"/>
    <cellStyle name="20% - Accent5 16" xfId="5702"/>
    <cellStyle name="Heading 2 2 2 2 2 2 2 2 2 2 2 9" xfId="5703"/>
    <cellStyle name="Normal 2 15" xfId="5704"/>
    <cellStyle name="Normal 2 2 10" xfId="5705"/>
    <cellStyle name="Normal 2 2 2 10" xfId="5706"/>
    <cellStyle name="Normal 2 2 2 2 9" xfId="5707"/>
    <cellStyle name="Normal 2 2 2 2 2 9" xfId="5708"/>
    <cellStyle name="Normal 2 2 2 2 2 2 8" xfId="5709"/>
    <cellStyle name="Normal 2 2 2 2 2 2 2 8" xfId="5710"/>
    <cellStyle name="Normal 2 2 2 2 2 2 2 2 7" xfId="5711"/>
    <cellStyle name="Normal 2 2 2 2 2 2 2 2 2 7" xfId="5712"/>
    <cellStyle name="Normal 2 2 2 2 2 2 2 2 2 2 7" xfId="5713"/>
    <cellStyle name="Normal 2 3 7" xfId="5714"/>
    <cellStyle name="Normal 3 7" xfId="5715"/>
    <cellStyle name="40% - Accent3 2 2 2 2 2 2 2 2 2 2 10" xfId="5716"/>
    <cellStyle name="Note 21" xfId="5717"/>
    <cellStyle name="40% - Accent3 2 2 2 2 2 2 2 2 2 10" xfId="5718"/>
    <cellStyle name="40% - Accent3 2 2 2 2 2 2 2 2 10" xfId="5719"/>
    <cellStyle name="40% - Accent3 2 2 2 2 2 2 2 11" xfId="5720"/>
    <cellStyle name="40% - Accent3 2 2 2 2 2 2 11" xfId="5721"/>
    <cellStyle name="40% - Accent3 2 2 2 2 2 12" xfId="5722"/>
    <cellStyle name="40% - Accent3 2 2 2 2 12" xfId="5723"/>
    <cellStyle name="40% - Accent3 2 2 2 13" xfId="5724"/>
    <cellStyle name="20% - Accent4 2 2 2 2 2 2 2 2 2 2 8" xfId="5725"/>
    <cellStyle name="20% - Accent4 2 2 2 2 2 2 2 2 2 8" xfId="5726"/>
    <cellStyle name="20% - Accent4 2 2 2 2 2 2 2 2 8" xfId="5727"/>
    <cellStyle name="20% - Accent4 2 2 2 2 2 2 2 9" xfId="5728"/>
    <cellStyle name="20% - Accent4 2 2 2 2 2 2 9" xfId="5729"/>
    <cellStyle name="20% - Accent4 2 2 2 2 2 10" xfId="5730"/>
    <cellStyle name="20% - Accent4 2 2 2 2 10" xfId="5731"/>
    <cellStyle name="20% - Accent4 2 2 2 11" xfId="5732"/>
    <cellStyle name="Note 2 7" xfId="5733"/>
    <cellStyle name="20% - Accent4 2 2 11" xfId="5734"/>
    <cellStyle name="20% - Accent4 2 15" xfId="5735"/>
    <cellStyle name="40% - Accent3 2 2 13" xfId="5736"/>
    <cellStyle name="20% - Accent4 16" xfId="5737"/>
    <cellStyle name="Heading 3 17" xfId="5738"/>
    <cellStyle name="40% - Accent3 2 17" xfId="5739"/>
    <cellStyle name="Heading 3 2 16" xfId="5740"/>
    <cellStyle name="Output 15" xfId="5741"/>
    <cellStyle name="Heading 3 2 2 12" xfId="5742"/>
    <cellStyle name="Output 2 14" xfId="5743"/>
    <cellStyle name="Output 2 2 10" xfId="5744"/>
    <cellStyle name="Output 2 2 2 10" xfId="5745"/>
    <cellStyle name="Output 2 2 2 2 9" xfId="5746"/>
    <cellStyle name="Output 2 2 2 2 2 9" xfId="5747"/>
    <cellStyle name="Output 2 2 2 2 2 2 8" xfId="5748"/>
    <cellStyle name="Output 2 2 2 2 2 2 2 8" xfId="5749"/>
    <cellStyle name="Output 2 2 2 2 2 2 2 2 7" xfId="5750"/>
    <cellStyle name="Output 2 2 2 2 2 2 2 2 2 7" xfId="5751"/>
    <cellStyle name="Output 2 2 2 2 2 2 2 2 2 2 7" xfId="5752"/>
    <cellStyle name="Heading 3 2 2 2 12" xfId="5753"/>
    <cellStyle name="Heading 3 2 2 2 2 11" xfId="5754"/>
    <cellStyle name="Heading 3 2 2 2 2 2 11" xfId="5755"/>
    <cellStyle name="Heading 3 2 2 2 2 2 2 10" xfId="5756"/>
    <cellStyle name="Heading 3 2 2 2 2 2 2 2 10" xfId="5757"/>
    <cellStyle name="Heading 3 2 2 2 2 2 2 2 2 9" xfId="5758"/>
    <cellStyle name="Heading 3 2 2 2 2 2 2 2 2 2 9" xfId="5759"/>
    <cellStyle name="Heading 3 2 2 2 2 2 2 2 2 2 2 9" xfId="5760"/>
    <cellStyle name="40% - Accent3 18" xfId="5761"/>
    <cellStyle name="Explanatory Text 19" xfId="5762"/>
    <cellStyle name="Explanatory Text 2 18" xfId="5763"/>
    <cellStyle name="Explanatory Text 2 2 14" xfId="5764"/>
    <cellStyle name="Explanatory Text 2 2 2 14" xfId="5765"/>
    <cellStyle name="Explanatory Text 2 2 2 2 13" xfId="5766"/>
    <cellStyle name="Explanatory Text 2 2 2 2 2 13" xfId="5767"/>
    <cellStyle name="Explanatory Text 2 2 2 2 2 2 12" xfId="5768"/>
    <cellStyle name="Explanatory Text 2 2 2 2 2 2 2 12" xfId="5769"/>
    <cellStyle name="Explanatory Text 2 2 2 2 2 2 2 2 11" xfId="5770"/>
    <cellStyle name="Explanatory Text 2 2 2 2 2 2 2 2 2 11" xfId="5771"/>
    <cellStyle name="Explanatory Text 2 2 2 2 2 2 2 2 2 2 11" xfId="5772"/>
    <cellStyle name="20% - Accent3 2 2 2 2 2 2 2 2 2 2 8" xfId="5773"/>
    <cellStyle name="20% - Accent3 2 2 2 2 2 2 2 2 2 8" xfId="5774"/>
    <cellStyle name="20% - Accent3 2 2 2 2 2 2 2 2 8" xfId="5775"/>
    <cellStyle name="20% - Accent3 2 2 2 2 2 2 2 9" xfId="5776"/>
    <cellStyle name="Title 14" xfId="5777"/>
    <cellStyle name="Title 2 10" xfId="5778"/>
    <cellStyle name="Title 2 2 10" xfId="5779"/>
    <cellStyle name="Title 2 2 2 9" xfId="5780"/>
    <cellStyle name="Title 2 2 2 2 9" xfId="5781"/>
    <cellStyle name="Title 2 2 2 2 2 8" xfId="5782"/>
    <cellStyle name="Title 2 2 2 2 2 2 8" xfId="5783"/>
    <cellStyle name="Title 2 2 2 2 2 2 2 7" xfId="5784"/>
    <cellStyle name="Title 2 2 2 2 2 2 2 2 7" xfId="5785"/>
    <cellStyle name="Title 2 2 2 2 2 2 2 2 2 7" xfId="5786"/>
    <cellStyle name="20% - Accent3 2 2 2 2 2 2 9" xfId="5787"/>
    <cellStyle name="20% - Accent3 2 2 2 2 2 10" xfId="5788"/>
    <cellStyle name="20% - Accent3 2 2 2 2 10" xfId="5789"/>
    <cellStyle name="20% - Accent3 2 2 2 11" xfId="5790"/>
    <cellStyle name="20% - Accent3 2 2 11" xfId="5791"/>
    <cellStyle name="20% - Accent3 2 15" xfId="5792"/>
    <cellStyle name="20% - Accent3 16" xfId="5793"/>
    <cellStyle name="Heading 4 17" xfId="5794"/>
    <cellStyle name="Heading 4 2 16" xfId="5795"/>
    <cellStyle name="Heading 4 2 2 12" xfId="5796"/>
    <cellStyle name="Heading 4 2 2 2 12" xfId="5797"/>
    <cellStyle name="Heading 4 2 2 2 2 11" xfId="5798"/>
    <cellStyle name="Heading 4 2 2 2 2 2 11" xfId="5799"/>
    <cellStyle name="Heading 4 2 2 2 2 2 2 10" xfId="5800"/>
    <cellStyle name="Heading 4 2 2 2 2 2 2 2 10" xfId="5801"/>
    <cellStyle name="Heading 4 2 2 2 2 2 2 2 2 9" xfId="5802"/>
    <cellStyle name="Heading 4 2 2 2 2 2 2 2 2 2 9" xfId="5803"/>
    <cellStyle name="Heading 4 2 2 2 2 2 2 2 2 2 2 9" xfId="5804"/>
    <cellStyle name="Total 15" xfId="5805"/>
    <cellStyle name="Total 2 14" xfId="5806"/>
    <cellStyle name="Total 2 2 10" xfId="5807"/>
    <cellStyle name="Total 2 2 2 10" xfId="5808"/>
    <cellStyle name="Total 2 2 2 2 9" xfId="5809"/>
    <cellStyle name="Total 2 2 2 2 2 9" xfId="5810"/>
    <cellStyle name="Total 2 2 2 2 2 2 8" xfId="5811"/>
    <cellStyle name="Total 2 2 2 2 2 2 2 8" xfId="5812"/>
    <cellStyle name="Total 2 2 2 2 2 2 2 2 7" xfId="5813"/>
    <cellStyle name="Total 2 2 2 2 2 2 2 2 2 7" xfId="5814"/>
    <cellStyle name="Total 2 2 2 2 2 2 2 2 2 2 7" xfId="5815"/>
    <cellStyle name="40% - Accent2 2 2 2 2 2 2 2 2 2 2 10" xfId="5816"/>
    <cellStyle name="40% - Accent2 2 2 2 2 2 2 2 2 2 10" xfId="5817"/>
    <cellStyle name="40% - Accent2 2 2 2 2 2 2 2 2 10" xfId="5818"/>
    <cellStyle name="40% - Accent2 2 2 2 2 2 2 2 11" xfId="5819"/>
    <cellStyle name="40% - Accent2 2 2 2 2 2 2 11" xfId="5820"/>
    <cellStyle name="40% - Accent2 2 2 2 2 2 12" xfId="5821"/>
    <cellStyle name="40% - Accent2 2 2 2 2 12" xfId="5822"/>
    <cellStyle name="40% - Accent2 2 2 2 13" xfId="5823"/>
    <cellStyle name="40% - Accent2 2 2 13" xfId="5824"/>
    <cellStyle name="40% - Accent2 2 17" xfId="5825"/>
    <cellStyle name="40% - Accent2 18" xfId="5826"/>
    <cellStyle name="20% - Accent2 2 2 2 2 2 2 2 2 2 2 8" xfId="5827"/>
    <cellStyle name="20% - Accent2 2 2 2 2 2 2 2 2 2 8" xfId="5828"/>
    <cellStyle name="20% - Accent2 2 2 2 2 2 2 2 2 8" xfId="5829"/>
    <cellStyle name="20% - Accent2 2 2 2 2 2 2 2 9" xfId="5830"/>
    <cellStyle name="20% - Accent2 2 2 2 2 2 2 9" xfId="5831"/>
    <cellStyle name="20% - Accent2 2 2 2 2 2 10" xfId="5832"/>
    <cellStyle name="20% - Accent2 2 2 2 2 10" xfId="5833"/>
    <cellStyle name="20% - Accent2 2 2 2 11" xfId="5834"/>
    <cellStyle name="20% - Accent2 2 2 11" xfId="5835"/>
    <cellStyle name="20% - Accent2 2 15" xfId="5836"/>
    <cellStyle name="20% - Accent2 16" xfId="5837"/>
    <cellStyle name="Good 19" xfId="5838"/>
    <cellStyle name="Good 2 18" xfId="5839"/>
    <cellStyle name="Good 2 2 14" xfId="5840"/>
    <cellStyle name="Good 2 2 2 14" xfId="5841"/>
    <cellStyle name="Good 2 2 2 2 13" xfId="5842"/>
    <cellStyle name="Good 2 2 2 2 2 13" xfId="5843"/>
    <cellStyle name="Good 2 2 2 2 2 2 12" xfId="5844"/>
    <cellStyle name="Good 2 2 2 2 2 2 2 12" xfId="5845"/>
    <cellStyle name="Warning Text 15" xfId="5846"/>
    <cellStyle name="Good 2 2 2 2 2 2 2 2 11" xfId="5847"/>
    <cellStyle name="Warning Text 2 14" xfId="5848"/>
    <cellStyle name="Warning Text 2 2 10" xfId="5849"/>
    <cellStyle name="Warning Text 2 2 2 10" xfId="5850"/>
    <cellStyle name="Warning Text 2 2 2 2 9" xfId="5851"/>
    <cellStyle name="Warning Text 2 2 2 2 2 9" xfId="5852"/>
    <cellStyle name="Warning Text 2 2 2 2 2 2 8" xfId="5853"/>
    <cellStyle name="Warning Text 2 2 2 2 2 2 2 8" xfId="5854"/>
    <cellStyle name="Warning Text 2 2 2 2 2 2 2 2 7" xfId="5855"/>
    <cellStyle name="Warning Text 2 2 2 2 2 2 2 2 2 7" xfId="5856"/>
    <cellStyle name="Warning Text 2 2 2 2 2 2 2 2 2 2 7" xfId="5857"/>
    <cellStyle name="Good 2 2 2 2 2 2 2 2 2 11" xfId="5858"/>
    <cellStyle name="Good 2 2 2 2 2 2 2 2 2 2 11" xfId="5859"/>
    <cellStyle name="Input 17" xfId="5860"/>
    <cellStyle name="Input 2 16" xfId="5861"/>
    <cellStyle name="Input 2 2 12" xfId="5862"/>
    <cellStyle name="Input 2 2 2 12" xfId="5863"/>
    <cellStyle name="Input 2 2 2 2 11" xfId="5864"/>
    <cellStyle name="Input 2 2 2 2 2 11" xfId="5865"/>
    <cellStyle name="Input 2 2 2 2 2 2 10" xfId="5866"/>
    <cellStyle name="Input 2 2 2 2 2 2 2 10" xfId="5867"/>
    <cellStyle name="Input 2 2 2 2 2 2 2 2 9" xfId="5868"/>
    <cellStyle name="Input 2 2 2 2 2 2 2 2 2 9" xfId="5869"/>
    <cellStyle name="Input 2 2 2 2 2 2 2 2 2 2 9" xfId="5870"/>
    <cellStyle name="40% - Accent1 2 2 2 2 2 2 2 2 2 2 10" xfId="5871"/>
    <cellStyle name="40% - Accent1 2 2 2 2 2 2 2 2 2 10" xfId="5872"/>
    <cellStyle name="40% - Accent1 2 2 2 2 2 2 2 2 10" xfId="5873"/>
    <cellStyle name="20% - Accent1 2 2 2 2 2 2 2 2 2 2 8" xfId="5874"/>
    <cellStyle name="20% - Accent1 2 2 2 2 2 2 2 2 2 8" xfId="5875"/>
    <cellStyle name="20% - Accent1 2 2 2 2 2 2 2 2 8" xfId="5876"/>
    <cellStyle name="20% - Accent1 2 2 2 2 2 2 2 9" xfId="5877"/>
    <cellStyle name="20% - Accent1 2 2 2 2 2 2 9" xfId="5878"/>
    <cellStyle name="20% - Accent1 2 2 2 2 2 10" xfId="5879"/>
    <cellStyle name="20% - Accent1 2 2 2 2 10" xfId="5880"/>
    <cellStyle name="20% - Accent1 2 2 2 11" xfId="5881"/>
    <cellStyle name="20% - Accent1 2 2 11" xfId="5882"/>
    <cellStyle name="20% - Accent1 2 15" xfId="5883"/>
    <cellStyle name="40% - Accent1 2 2 2 2 2 2 2 11" xfId="5884"/>
    <cellStyle name="20% - Accent1 16" xfId="5885"/>
    <cellStyle name="Normal 17" xfId="5886"/>
    <cellStyle name="40% - Accent1 2 2 2 2 2 2 10" xfId="5887"/>
    <cellStyle name="40% - Accent1 2 2 2 2 2 11" xfId="5888"/>
    <cellStyle name="40% - Accent1 2 2 2 2 11" xfId="5889"/>
    <cellStyle name="40% - Accent1 2 2 2 12" xfId="5890"/>
    <cellStyle name="40% - Accent1 2 2 12" xfId="5891"/>
    <cellStyle name="40% - Accent1 2 16" xfId="5892"/>
    <cellStyle name="40% - Accent5 2 2 2 2 2 2 2 2 11" xfId="5893"/>
    <cellStyle name="40% - Accent1 17" xfId="5894"/>
    <cellStyle name="40% - Accent5 2 2 2 2 2 2 2 12" xfId="5895"/>
    <cellStyle name="40% - Accent5 2 2 2 2 2 2 12" xfId="5896"/>
    <cellStyle name="40% - Accent5 2 2 2 2 2 13" xfId="5897"/>
    <cellStyle name="40% - Accent5 2 2 2 2 13" xfId="5898"/>
    <cellStyle name="40% - Accent5 2 2 2 14" xfId="5899"/>
    <cellStyle name="40% - Accent5 2 2 14" xfId="5900"/>
    <cellStyle name="40% - Accent5 2 18" xfId="5901"/>
    <cellStyle name="40% - Accent5 19" xfId="5902"/>
    <cellStyle name="Linked Cell 16" xfId="5903"/>
    <cellStyle name="Linked Cell 2 15" xfId="5904"/>
    <cellStyle name="Linked Cell 2 2 11" xfId="5905"/>
    <cellStyle name="Linked Cell 2 2 2 11" xfId="5906"/>
    <cellStyle name="Linked Cell 2 2 2 2 10" xfId="5907"/>
    <cellStyle name="Linked Cell 2 2 2 2 2 10" xfId="5908"/>
    <cellStyle name="Linked Cell 2 2 2 2 2 2 9" xfId="5909"/>
    <cellStyle name="Linked Cell 2 2 2 2 2 2 2 9" xfId="5910"/>
    <cellStyle name="Linked Cell 2 2 2 2 2 2 2 2 8" xfId="5911"/>
    <cellStyle name="Linked Cell 2 2 2 2 2 2 2 2 2 8" xfId="5912"/>
    <cellStyle name="Linked Cell 2 2 2 2 2 2 2 2 2 2 8" xfId="5913"/>
    <cellStyle name="Heading 1 18" xfId="5914"/>
    <cellStyle name="Heading 1 2 17" xfId="5915"/>
    <cellStyle name="Heading 1 2 2 13" xfId="5916"/>
    <cellStyle name="Heading 1 2 2 2 13" xfId="5917"/>
    <cellStyle name="Heading 1 2 2 2 2 12" xfId="5918"/>
    <cellStyle name="Heading 1 2 2 2 2 2 12" xfId="5919"/>
    <cellStyle name="Heading 1 2 2 2 2 2 2 11" xfId="5920"/>
    <cellStyle name="Heading 1 2 2 2 2 2 2 2 11" xfId="5921"/>
    <cellStyle name="Heading 1 2 2 2 2 2 2 2 2 10" xfId="5922"/>
    <cellStyle name="Heading 1 2 2 2 2 2 2 2 2 2 10" xfId="5923"/>
    <cellStyle name="Heading 1 2 2 2 2 2 2 2 2 2 2 10" xfId="5924"/>
    <cellStyle name="20% - Accent6 2 2 2 2 2 2 2 2 2 2 9" xfId="5925"/>
    <cellStyle name="20% - Accent6 2 2 2 2 2 2 2 2 2 9" xfId="5926"/>
    <cellStyle name="20% - Accent6 2 2 2 2 2 2 2 2 9" xfId="5927"/>
    <cellStyle name="20% - Accent6 2 2 2 2 2 2 2 10" xfId="5928"/>
    <cellStyle name="20% - Accent6 2 2 2 2 2 2 10" xfId="5929"/>
    <cellStyle name="20% - Accent6 2 2 2 2 2 11" xfId="5930"/>
    <cellStyle name="20% - Accent6 2 2 2 2 11" xfId="5931"/>
    <cellStyle name="20% - Accent6 2 2 2 12" xfId="5932"/>
    <cellStyle name="20% - Accent6 2 2 12" xfId="5933"/>
    <cellStyle name="20% - Accent6 2 16" xfId="5934"/>
    <cellStyle name="20% - Accent6 17" xfId="5935"/>
    <cellStyle name="Neutral 16" xfId="5936"/>
    <cellStyle name="Neutral 2 15" xfId="5937"/>
    <cellStyle name="Neutral 2 2 11" xfId="5938"/>
    <cellStyle name="Neutral 2 2 2 11" xfId="5939"/>
    <cellStyle name="Neutral 2 2 2 2 10" xfId="5940"/>
    <cellStyle name="Neutral 2 2 2 2 2 10" xfId="5941"/>
    <cellStyle name="Neutral 2 2 2 2 2 2 9" xfId="5942"/>
    <cellStyle name="Neutral 2 2 2 2 2 2 2 9" xfId="5943"/>
    <cellStyle name="Neutral 2 2 2 2 2 2 2 2 8" xfId="5944"/>
    <cellStyle name="Neutral 2 2 2 2 2 2 2 2 2 8" xfId="5945"/>
    <cellStyle name="Neutral 2 2 2 2 2 2 2 2 2 2 8" xfId="5946"/>
    <cellStyle name="40% - Accent4 2 2 2 2 2 2 2 2 2 2 11" xfId="5947"/>
    <cellStyle name="40% - Accent4 2 2 2 2 2 2 2 2 2 11" xfId="5948"/>
    <cellStyle name="40% - Accent4 2 2 2 2 2 2 2 2 11" xfId="5949"/>
    <cellStyle name="40% - Accent4 2 2 2 2 2 2 2 12" xfId="5950"/>
    <cellStyle name="40% - Accent4 2 2 2 2 2 2 12" xfId="5951"/>
    <cellStyle name="40% - Accent4 2 2 2 2 2 13" xfId="5952"/>
    <cellStyle name="40% - Accent4 2 2 2 2 13" xfId="5953"/>
    <cellStyle name="40% - Accent4 2 2 2 14" xfId="5954"/>
    <cellStyle name="40% - Accent4 2 2 14" xfId="5955"/>
    <cellStyle name="40% - Accent4 2 18" xfId="5956"/>
    <cellStyle name="40% - Accent4 19" xfId="5957"/>
    <cellStyle name="Heading 2 18" xfId="5958"/>
    <cellStyle name="Heading 2 2 17" xfId="5959"/>
    <cellStyle name="Heading 2 2 2 13" xfId="5960"/>
    <cellStyle name="Heading 2 2 2 2 13" xfId="5961"/>
    <cellStyle name="Heading 2 2 2 2 2 12" xfId="5962"/>
    <cellStyle name="Heading 2 2 2 2 2 2 12" xfId="5963"/>
    <cellStyle name="Heading 2 2 2 2 2 2 2 11" xfId="5964"/>
    <cellStyle name="Heading 2 2 2 2 2 2 2 2 11" xfId="5965"/>
    <cellStyle name="Heading 2 2 2 2 2 2 2 2 2 10" xfId="5966"/>
    <cellStyle name="20% - Accent5 2 2 2 2 2 2 2 2 2 2 9" xfId="5967"/>
    <cellStyle name="20% - Accent5 2 2 2 2 2 2 2 2 2 9" xfId="5968"/>
    <cellStyle name="20% - Accent5 2 2 2 2 2 2 2 2 9" xfId="5969"/>
    <cellStyle name="20% - Accent5 2 2 2 2 2 2 2 10" xfId="5970"/>
    <cellStyle name="20% - Accent5 2 2 2 2 2 2 10" xfId="5971"/>
    <cellStyle name="20% - Accent5 2 2 2 2 2 11" xfId="5972"/>
    <cellStyle name="20% - Accent5 2 2 2 2 11" xfId="5973"/>
    <cellStyle name="20% - Accent5 2 2 2 12" xfId="5974"/>
    <cellStyle name="20% - Accent5 2 2 12" xfId="5975"/>
    <cellStyle name="20% - Accent5 2 16" xfId="5976"/>
    <cellStyle name="Heading 2 2 2 2 2 2 2 2 2 2 10" xfId="5977"/>
    <cellStyle name="20% - Accent5 17" xfId="5978"/>
    <cellStyle name="Heading 2 2 2 2 2 2 2 2 2 2 2 10" xfId="5979"/>
    <cellStyle name="Normal 2 16" xfId="5980"/>
    <cellStyle name="Normal 2 2 11" xfId="5981"/>
    <cellStyle name="Normal 2 2 2 11" xfId="5982"/>
    <cellStyle name="Normal 2 2 2 2 10" xfId="5983"/>
    <cellStyle name="Normal 2 2 2 2 2 10" xfId="5984"/>
    <cellStyle name="Normal 2 2 2 2 2 2 9" xfId="5985"/>
    <cellStyle name="Normal 2 2 2 2 2 2 2 9" xfId="5986"/>
    <cellStyle name="Normal 2 2 2 2 2 2 2 2 8" xfId="5987"/>
    <cellStyle name="Normal 2 2 2 2 2 2 2 2 2 8" xfId="5988"/>
    <cellStyle name="Normal 2 2 2 2 2 2 2 2 2 2 8" xfId="5989"/>
    <cellStyle name="Normal 2 3 8" xfId="5990"/>
    <cellStyle name="Normal 3 8" xfId="5991"/>
    <cellStyle name="40% - Accent3 2 2 2 2 2 2 2 2 2 2 11" xfId="5992"/>
    <cellStyle name="Note 22" xfId="5993"/>
    <cellStyle name="40% - Accent3 2 2 2 2 2 2 2 2 2 11" xfId="5994"/>
    <cellStyle name="40% - Accent3 2 2 2 2 2 2 2 2 11" xfId="5995"/>
    <cellStyle name="40% - Accent3 2 2 2 2 2 2 2 12" xfId="5996"/>
    <cellStyle name="40% - Accent3 2 2 2 2 2 2 12" xfId="5997"/>
    <cellStyle name="40% - Accent3 2 2 2 2 2 13" xfId="5998"/>
    <cellStyle name="40% - Accent3 2 2 2 2 13" xfId="5999"/>
    <cellStyle name="40% - Accent3 2 2 2 14" xfId="6000"/>
    <cellStyle name="20% - Accent4 2 2 2 2 2 2 2 2 2 2 9" xfId="6001"/>
    <cellStyle name="20% - Accent4 2 2 2 2 2 2 2 2 2 9" xfId="6002"/>
    <cellStyle name="20% - Accent4 2 2 2 2 2 2 2 2 9" xfId="6003"/>
    <cellStyle name="20% - Accent4 2 2 2 2 2 2 2 10" xfId="6004"/>
    <cellStyle name="20% - Accent4 2 2 2 2 2 2 10" xfId="6005"/>
    <cellStyle name="20% - Accent4 2 2 2 2 2 11" xfId="6006"/>
    <cellStyle name="20% - Accent4 2 2 2 2 11" xfId="6007"/>
    <cellStyle name="20% - Accent4 2 2 2 12" xfId="6008"/>
    <cellStyle name="Note 2 8" xfId="6009"/>
    <cellStyle name="20% - Accent4 2 2 12" xfId="6010"/>
    <cellStyle name="20% - Accent4 2 16" xfId="6011"/>
    <cellStyle name="40% - Accent3 2 2 14" xfId="6012"/>
    <cellStyle name="20% - Accent4 17" xfId="6013"/>
    <cellStyle name="Heading 3 18" xfId="6014"/>
    <cellStyle name="40% - Accent3 2 18" xfId="6015"/>
    <cellStyle name="Heading 3 2 17" xfId="6016"/>
    <cellStyle name="Output 16" xfId="6017"/>
    <cellStyle name="Heading 3 2 2 13" xfId="6018"/>
    <cellStyle name="Output 2 15" xfId="6019"/>
    <cellStyle name="Output 2 2 11" xfId="6020"/>
    <cellStyle name="Output 2 2 2 11" xfId="6021"/>
    <cellStyle name="Output 2 2 2 2 10" xfId="6022"/>
    <cellStyle name="Output 2 2 2 2 2 10" xfId="6023"/>
    <cellStyle name="Output 2 2 2 2 2 2 9" xfId="6024"/>
    <cellStyle name="Output 2 2 2 2 2 2 2 9" xfId="6025"/>
    <cellStyle name="Output 2 2 2 2 2 2 2 2 8" xfId="6026"/>
    <cellStyle name="Output 2 2 2 2 2 2 2 2 2 8" xfId="6027"/>
    <cellStyle name="Output 2 2 2 2 2 2 2 2 2 2 8" xfId="6028"/>
    <cellStyle name="Heading 3 2 2 2 13" xfId="6029"/>
    <cellStyle name="Heading 3 2 2 2 2 12" xfId="6030"/>
    <cellStyle name="Heading 3 2 2 2 2 2 12" xfId="6031"/>
    <cellStyle name="Heading 3 2 2 2 2 2 2 11" xfId="6032"/>
    <cellStyle name="Heading 3 2 2 2 2 2 2 2 11" xfId="6033"/>
    <cellStyle name="Heading 3 2 2 2 2 2 2 2 2 10" xfId="6034"/>
    <cellStyle name="Heading 3 2 2 2 2 2 2 2 2 2 10" xfId="6035"/>
    <cellStyle name="Heading 3 2 2 2 2 2 2 2 2 2 2 10" xfId="6036"/>
    <cellStyle name="40% - Accent3 19" xfId="6037"/>
    <cellStyle name="20% - Accent3 2 2 2 2 2 2 2 2 2 2 9" xfId="6038"/>
    <cellStyle name="20% - Accent3 2 2 2 2 2 2 2 2 2 9" xfId="6039"/>
    <cellStyle name="20% - Accent3 2 2 2 2 2 2 2 2 9" xfId="6040"/>
    <cellStyle name="20% - Accent3 2 2 2 2 2 2 2 10" xfId="6041"/>
    <cellStyle name="Title 15" xfId="6042"/>
    <cellStyle name="Title 2 11" xfId="6043"/>
    <cellStyle name="Title 2 2 11" xfId="6044"/>
    <cellStyle name="Title 2 2 2 10" xfId="6045"/>
    <cellStyle name="Title 2 2 2 2 10" xfId="6046"/>
    <cellStyle name="Title 2 2 2 2 2 9" xfId="6047"/>
    <cellStyle name="Title 2 2 2 2 2 2 9" xfId="6048"/>
    <cellStyle name="Title 2 2 2 2 2 2 2 8" xfId="6049"/>
    <cellStyle name="Title 2 2 2 2 2 2 2 2 8" xfId="6050"/>
    <cellStyle name="Title 2 2 2 2 2 2 2 2 2 8" xfId="6051"/>
    <cellStyle name="20% - Accent3 2 2 2 2 2 2 10" xfId="6052"/>
    <cellStyle name="20% - Accent3 2 2 2 2 2 11" xfId="6053"/>
    <cellStyle name="20% - Accent3 2 2 2 2 11" xfId="6054"/>
    <cellStyle name="20% - Accent3 2 2 2 12" xfId="6055"/>
    <cellStyle name="20% - Accent3 2 2 12" xfId="6056"/>
    <cellStyle name="20% - Accent3 2 16" xfId="6057"/>
    <cellStyle name="20% - Accent3 17" xfId="6058"/>
    <cellStyle name="Heading 4 18" xfId="6059"/>
    <cellStyle name="Heading 4 2 17" xfId="6060"/>
    <cellStyle name="Heading 4 2 2 13" xfId="6061"/>
    <cellStyle name="Heading 4 2 2 2 13" xfId="6062"/>
    <cellStyle name="Heading 4 2 2 2 2 12" xfId="6063"/>
    <cellStyle name="Heading 4 2 2 2 2 2 12" xfId="6064"/>
    <cellStyle name="Heading 4 2 2 2 2 2 2 11" xfId="6065"/>
    <cellStyle name="Heading 4 2 2 2 2 2 2 2 11" xfId="6066"/>
    <cellStyle name="Heading 4 2 2 2 2 2 2 2 2 10" xfId="6067"/>
    <cellStyle name="Heading 4 2 2 2 2 2 2 2 2 2 10" xfId="6068"/>
    <cellStyle name="Heading 4 2 2 2 2 2 2 2 2 2 2 10" xfId="6069"/>
    <cellStyle name="Total 16" xfId="6070"/>
    <cellStyle name="Total 2 15" xfId="6071"/>
    <cellStyle name="Total 2 2 11" xfId="6072"/>
    <cellStyle name="Total 2 2 2 11" xfId="6073"/>
    <cellStyle name="Total 2 2 2 2 10" xfId="6074"/>
    <cellStyle name="Total 2 2 2 2 2 10" xfId="6075"/>
    <cellStyle name="Total 2 2 2 2 2 2 9" xfId="6076"/>
    <cellStyle name="Total 2 2 2 2 2 2 2 9" xfId="6077"/>
    <cellStyle name="Total 2 2 2 2 2 2 2 2 8" xfId="6078"/>
    <cellStyle name="Total 2 2 2 2 2 2 2 2 2 8" xfId="6079"/>
    <cellStyle name="Total 2 2 2 2 2 2 2 2 2 2 8" xfId="6080"/>
    <cellStyle name="40% - Accent2 2 2 2 2 2 2 2 2 2 2 11" xfId="6081"/>
    <cellStyle name="40% - Accent2 2 2 2 2 2 2 2 2 2 11" xfId="6082"/>
    <cellStyle name="40% - Accent2 2 2 2 2 2 2 2 2 11" xfId="6083"/>
    <cellStyle name="40% - Accent2 2 2 2 2 2 2 2 12" xfId="6084"/>
    <cellStyle name="40% - Accent2 2 2 2 2 2 2 12" xfId="6085"/>
    <cellStyle name="40% - Accent2 2 2 2 2 2 13" xfId="6086"/>
    <cellStyle name="40% - Accent2 2 2 2 2 13" xfId="6087"/>
    <cellStyle name="40% - Accent2 2 2 2 14" xfId="6088"/>
    <cellStyle name="40% - Accent2 2 2 14" xfId="6089"/>
    <cellStyle name="40% - Accent2 2 18" xfId="6090"/>
    <cellStyle name="40% - Accent2 19" xfId="6091"/>
    <cellStyle name="20% - Accent2 2 2 2 2 2 2 2 2 2 2 9" xfId="6092"/>
    <cellStyle name="20% - Accent2 2 2 2 2 2 2 2 2 2 9" xfId="6093"/>
    <cellStyle name="20% - Accent2 2 2 2 2 2 2 2 2 9" xfId="6094"/>
    <cellStyle name="20% - Accent2 2 2 2 2 2 2 2 10" xfId="6095"/>
    <cellStyle name="20% - Accent2 2 2 2 2 2 2 10" xfId="6096"/>
    <cellStyle name="20% - Accent2 2 2 2 2 2 11" xfId="6097"/>
    <cellStyle name="20% - Accent2 2 2 2 2 11" xfId="6098"/>
    <cellStyle name="20% - Accent2 2 2 2 12" xfId="6099"/>
    <cellStyle name="20% - Accent2 2 2 12" xfId="6100"/>
    <cellStyle name="20% - Accent2 2 16" xfId="6101"/>
    <cellStyle name="20% - Accent2 17" xfId="6102"/>
    <cellStyle name="Warning Text 16" xfId="6103"/>
    <cellStyle name="Warning Text 2 15" xfId="6104"/>
    <cellStyle name="Warning Text 2 2 11" xfId="6105"/>
    <cellStyle name="Warning Text 2 2 2 11" xfId="6106"/>
    <cellStyle name="Warning Text 2 2 2 2 10" xfId="6107"/>
    <cellStyle name="Warning Text 2 2 2 2 2 10" xfId="6108"/>
    <cellStyle name="Warning Text 2 2 2 2 2 2 9" xfId="6109"/>
    <cellStyle name="Warning Text 2 2 2 2 2 2 2 9" xfId="6110"/>
    <cellStyle name="Warning Text 2 2 2 2 2 2 2 2 8" xfId="6111"/>
    <cellStyle name="Warning Text 2 2 2 2 2 2 2 2 2 8" xfId="6112"/>
    <cellStyle name="Warning Text 2 2 2 2 2 2 2 2 2 2 8" xfId="6113"/>
    <cellStyle name="Input 18" xfId="6114"/>
    <cellStyle name="Input 2 17" xfId="6115"/>
    <cellStyle name="Input 2 2 13" xfId="6116"/>
    <cellStyle name="Input 2 2 2 13" xfId="6117"/>
    <cellStyle name="Input 2 2 2 2 12" xfId="6118"/>
    <cellStyle name="Input 2 2 2 2 2 12" xfId="6119"/>
    <cellStyle name="Input 2 2 2 2 2 2 11" xfId="6120"/>
    <cellStyle name="Input 2 2 2 2 2 2 2 11" xfId="6121"/>
    <cellStyle name="Input 2 2 2 2 2 2 2 2 10" xfId="6122"/>
    <cellStyle name="Input 2 2 2 2 2 2 2 2 2 10" xfId="6123"/>
    <cellStyle name="Input 2 2 2 2 2 2 2 2 2 2 10" xfId="6124"/>
    <cellStyle name="40% - Accent1 2 2 2 2 2 2 2 2 2 2 11" xfId="6125"/>
    <cellStyle name="40% - Accent1 2 2 2 2 2 2 2 2 2 11" xfId="6126"/>
    <cellStyle name="40% - Accent1 2 2 2 2 2 2 2 2 11" xfId="6127"/>
    <cellStyle name="20% - Accent1 2 2 2 2 2 2 2 2 2 2 9" xfId="6128"/>
    <cellStyle name="20% - Accent1 2 2 2 2 2 2 2 2 2 9" xfId="6129"/>
    <cellStyle name="20% - Accent1 2 2 2 2 2 2 2 2 9" xfId="6130"/>
    <cellStyle name="20% - Accent1 2 2 2 2 2 2 2 10" xfId="6131"/>
    <cellStyle name="20% - Accent1 2 2 2 2 2 2 10" xfId="6132"/>
    <cellStyle name="20% - Accent1 2 2 2 2 2 11" xfId="6133"/>
    <cellStyle name="20% - Accent1 2 2 2 2 11" xfId="6134"/>
    <cellStyle name="20% - Accent1 2 2 2 12" xfId="6135"/>
    <cellStyle name="20% - Accent1 2 2 12" xfId="6136"/>
    <cellStyle name="20% - Accent1 2 16" xfId="6137"/>
    <cellStyle name="40% - Accent1 2 2 2 2 2 2 2 12" xfId="6138"/>
    <cellStyle name="20% - Accent1 17" xfId="6139"/>
    <cellStyle name="Normal 18" xfId="6140"/>
    <cellStyle name="40% - Accent1 2 2 2 2 2 2 11" xfId="6141"/>
    <cellStyle name="40% - Accent1 2 2 2 2 2 12" xfId="6142"/>
    <cellStyle name="40% - Accent1 2 2 2 2 12" xfId="6143"/>
    <cellStyle name="40% - Accent1 2 2 2 13" xfId="6144"/>
    <cellStyle name="40% - Accent1 2 2 13" xfId="6145"/>
    <cellStyle name="40% - Accent1 2 17" xfId="6146"/>
    <cellStyle name="40% - Accent1 18" xfId="6147"/>
    <cellStyle name="Linked Cell 17" xfId="6148"/>
    <cellStyle name="Linked Cell 2 16" xfId="6149"/>
    <cellStyle name="Linked Cell 2 2 12" xfId="6150"/>
    <cellStyle name="Linked Cell 2 2 2 12" xfId="6151"/>
    <cellStyle name="Linked Cell 2 2 2 2 11" xfId="6152"/>
    <cellStyle name="Linked Cell 2 2 2 2 2 11" xfId="6153"/>
    <cellStyle name="Linked Cell 2 2 2 2 2 2 10" xfId="6154"/>
    <cellStyle name="Linked Cell 2 2 2 2 2 2 2 10" xfId="6155"/>
    <cellStyle name="Linked Cell 2 2 2 2 2 2 2 2 9" xfId="6156"/>
    <cellStyle name="Linked Cell 2 2 2 2 2 2 2 2 2 9" xfId="6157"/>
    <cellStyle name="Linked Cell 2 2 2 2 2 2 2 2 2 2 9" xfId="6158"/>
    <cellStyle name="Heading 1 19" xfId="6159"/>
    <cellStyle name="Heading 1 2 18" xfId="6160"/>
    <cellStyle name="Heading 1 2 2 14" xfId="6161"/>
    <cellStyle name="Heading 1 2 2 2 14" xfId="6162"/>
    <cellStyle name="Heading 1 2 2 2 2 13" xfId="6163"/>
    <cellStyle name="Heading 1 2 2 2 2 2 13" xfId="6164"/>
    <cellStyle name="Heading 1 2 2 2 2 2 2 12" xfId="6165"/>
    <cellStyle name="Heading 1 2 2 2 2 2 2 2 12" xfId="6166"/>
    <cellStyle name="Heading 1 2 2 2 2 2 2 2 2 11" xfId="6167"/>
    <cellStyle name="Heading 1 2 2 2 2 2 2 2 2 2 11" xfId="6168"/>
    <cellStyle name="Heading 1 2 2 2 2 2 2 2 2 2 2 11" xfId="6169"/>
    <cellStyle name="20% - Accent6 2 2 2 2 2 2 2 2 2 2 10" xfId="6170"/>
    <cellStyle name="20% - Accent6 2 2 2 2 2 2 2 2 2 10" xfId="6171"/>
    <cellStyle name="20% - Accent6 2 2 2 2 2 2 2 2 10" xfId="6172"/>
    <cellStyle name="20% - Accent6 2 2 2 2 2 2 2 11" xfId="6173"/>
    <cellStyle name="20% - Accent6 2 2 2 2 2 2 11" xfId="6174"/>
    <cellStyle name="20% - Accent6 2 2 2 2 2 12" xfId="6175"/>
    <cellStyle name="20% - Accent6 2 2 2 2 12" xfId="6176"/>
    <cellStyle name="20% - Accent6 2 2 2 13" xfId="6177"/>
    <cellStyle name="20% - Accent6 2 2 13" xfId="6178"/>
    <cellStyle name="20% - Accent6 2 17" xfId="6179"/>
    <cellStyle name="20% - Accent6 18" xfId="6180"/>
    <cellStyle name="Neutral 17" xfId="6181"/>
    <cellStyle name="Neutral 2 16" xfId="6182"/>
    <cellStyle name="Neutral 2 2 12" xfId="6183"/>
    <cellStyle name="Neutral 2 2 2 12" xfId="6184"/>
    <cellStyle name="Neutral 2 2 2 2 11" xfId="6185"/>
    <cellStyle name="Neutral 2 2 2 2 2 11" xfId="6186"/>
    <cellStyle name="Neutral 2 2 2 2 2 2 10" xfId="6187"/>
    <cellStyle name="Neutral 2 2 2 2 2 2 2 10" xfId="6188"/>
    <cellStyle name="Neutral 2 2 2 2 2 2 2 2 9" xfId="6189"/>
    <cellStyle name="Neutral 2 2 2 2 2 2 2 2 2 9" xfId="6190"/>
    <cellStyle name="Neutral 2 2 2 2 2 2 2 2 2 2 9" xfId="6191"/>
    <cellStyle name="Heading 2 19" xfId="6192"/>
    <cellStyle name="Heading 2 2 18" xfId="6193"/>
    <cellStyle name="Heading 2 2 2 14" xfId="6194"/>
    <cellStyle name="Heading 2 2 2 2 14" xfId="6195"/>
    <cellStyle name="Heading 2 2 2 2 2 13" xfId="6196"/>
    <cellStyle name="Heading 2 2 2 2 2 2 13" xfId="6197"/>
    <cellStyle name="Heading 2 2 2 2 2 2 2 12" xfId="6198"/>
    <cellStyle name="Heading 2 2 2 2 2 2 2 2 12" xfId="6199"/>
    <cellStyle name="Heading 2 2 2 2 2 2 2 2 2 11" xfId="6200"/>
    <cellStyle name="20% - Accent5 2 2 2 2 2 2 2 2 2 2 10" xfId="6201"/>
    <cellStyle name="20% - Accent5 2 2 2 2 2 2 2 2 2 10" xfId="6202"/>
    <cellStyle name="20% - Accent5 2 2 2 2 2 2 2 2 10" xfId="6203"/>
    <cellStyle name="20% - Accent5 2 2 2 2 2 2 2 11" xfId="6204"/>
    <cellStyle name="20% - Accent5 2 2 2 2 2 2 11" xfId="6205"/>
    <cellStyle name="20% - Accent5 2 2 2 2 2 12" xfId="6206"/>
    <cellStyle name="20% - Accent5 2 2 2 2 12" xfId="6207"/>
    <cellStyle name="20% - Accent5 2 2 2 13" xfId="6208"/>
    <cellStyle name="20% - Accent5 2 2 13" xfId="6209"/>
    <cellStyle name="20% - Accent5 2 17" xfId="6210"/>
    <cellStyle name="Heading 2 2 2 2 2 2 2 2 2 2 11" xfId="6211"/>
    <cellStyle name="20% - Accent5 18" xfId="6212"/>
    <cellStyle name="Heading 2 2 2 2 2 2 2 2 2 2 2 11" xfId="6213"/>
    <cellStyle name="Normal 2 17" xfId="6214"/>
    <cellStyle name="Normal 2 2 12" xfId="6215"/>
    <cellStyle name="Normal 2 2 2 12" xfId="6216"/>
    <cellStyle name="Normal 2 2 2 2 11" xfId="6217"/>
    <cellStyle name="Normal 2 2 2 2 2 11" xfId="6218"/>
    <cellStyle name="Normal 2 2 2 2 2 2 10" xfId="6219"/>
    <cellStyle name="Normal 2 2 2 2 2 2 2 10" xfId="6220"/>
    <cellStyle name="Normal 2 2 2 2 2 2 2 2 9" xfId="6221"/>
    <cellStyle name="Normal 2 2 2 2 2 2 2 2 2 9" xfId="6222"/>
    <cellStyle name="Normal 2 2 2 2 2 2 2 2 2 2 9" xfId="6223"/>
    <cellStyle name="Normal 2 3 9" xfId="6224"/>
    <cellStyle name="Normal 3 9" xfId="6225"/>
    <cellStyle name="Note 23" xfId="6226"/>
    <cellStyle name="20% - Accent4 2 2 2 2 2 2 2 2 2 2 10" xfId="6227"/>
    <cellStyle name="20% - Accent4 2 2 2 2 2 2 2 2 2 10" xfId="6228"/>
    <cellStyle name="20% - Accent4 2 2 2 2 2 2 2 2 10" xfId="6229"/>
    <cellStyle name="20% - Accent4 2 2 2 2 2 2 2 11" xfId="6230"/>
    <cellStyle name="20% - Accent4 2 2 2 2 2 2 11" xfId="6231"/>
    <cellStyle name="20% - Accent4 2 2 2 2 2 12" xfId="6232"/>
    <cellStyle name="20% - Accent4 2 2 2 2 12" xfId="6233"/>
    <cellStyle name="20% - Accent4 2 2 2 13" xfId="6234"/>
    <cellStyle name="Note 2 9" xfId="6235"/>
    <cellStyle name="20% - Accent4 2 2 13" xfId="6236"/>
    <cellStyle name="20% - Accent4 2 17" xfId="6237"/>
    <cellStyle name="20% - Accent4 18" xfId="6238"/>
    <cellStyle name="Heading 3 19" xfId="6239"/>
    <cellStyle name="Heading 3 2 18" xfId="6240"/>
    <cellStyle name="Output 17" xfId="6241"/>
    <cellStyle name="Heading 3 2 2 14" xfId="6242"/>
    <cellStyle name="Output 2 16" xfId="6243"/>
    <cellStyle name="Output 2 2 12" xfId="6244"/>
    <cellStyle name="Output 2 2 2 12" xfId="6245"/>
    <cellStyle name="Output 2 2 2 2 11" xfId="6246"/>
    <cellStyle name="Output 2 2 2 2 2 11" xfId="6247"/>
    <cellStyle name="Output 2 2 2 2 2 2 10" xfId="6248"/>
    <cellStyle name="Output 2 2 2 2 2 2 2 10" xfId="6249"/>
    <cellStyle name="Output 2 2 2 2 2 2 2 2 9" xfId="6250"/>
    <cellStyle name="Output 2 2 2 2 2 2 2 2 2 9" xfId="6251"/>
    <cellStyle name="Output 2 2 2 2 2 2 2 2 2 2 9" xfId="6252"/>
    <cellStyle name="Heading 3 2 2 2 14" xfId="6253"/>
    <cellStyle name="Heading 3 2 2 2 2 13" xfId="6254"/>
    <cellStyle name="Heading 3 2 2 2 2 2 13" xfId="6255"/>
    <cellStyle name="Heading 3 2 2 2 2 2 2 12" xfId="6256"/>
    <cellStyle name="Heading 3 2 2 2 2 2 2 2 12" xfId="6257"/>
    <cellStyle name="Heading 3 2 2 2 2 2 2 2 2 11" xfId="6258"/>
    <cellStyle name="Heading 3 2 2 2 2 2 2 2 2 2 11" xfId="6259"/>
    <cellStyle name="Heading 3 2 2 2 2 2 2 2 2 2 2 11" xfId="6260"/>
    <cellStyle name="20% - Accent3 2 2 2 2 2 2 2 2 2 2 10" xfId="6261"/>
    <cellStyle name="20% - Accent3 2 2 2 2 2 2 2 2 2 10" xfId="6262"/>
    <cellStyle name="20% - Accent3 2 2 2 2 2 2 2 2 10" xfId="6263"/>
    <cellStyle name="20% - Accent3 2 2 2 2 2 2 2 11" xfId="6264"/>
    <cellStyle name="Title 16" xfId="6265"/>
    <cellStyle name="Title 2 12" xfId="6266"/>
    <cellStyle name="Title 2 2 12" xfId="6267"/>
    <cellStyle name="Title 2 2 2 11" xfId="6268"/>
    <cellStyle name="Title 2 2 2 2 11" xfId="6269"/>
    <cellStyle name="Title 2 2 2 2 2 10" xfId="6270"/>
    <cellStyle name="Title 2 2 2 2 2 2 10" xfId="6271"/>
    <cellStyle name="Title 2 2 2 2 2 2 2 9" xfId="6272"/>
    <cellStyle name="Title 2 2 2 2 2 2 2 2 9" xfId="6273"/>
    <cellStyle name="Title 2 2 2 2 2 2 2 2 2 9" xfId="6274"/>
    <cellStyle name="20% - Accent3 2 2 2 2 2 2 11" xfId="6275"/>
    <cellStyle name="20% - Accent3 2 2 2 2 2 12" xfId="6276"/>
    <cellStyle name="20% - Accent3 2 2 2 2 12" xfId="6277"/>
    <cellStyle name="20% - Accent3 2 2 2 13" xfId="6278"/>
    <cellStyle name="20% - Accent3 2 2 13" xfId="6279"/>
    <cellStyle name="20% - Accent3 2 17" xfId="6280"/>
    <cellStyle name="20% - Accent3 18" xfId="6281"/>
    <cellStyle name="Heading 4 19" xfId="6282"/>
    <cellStyle name="Heading 4 2 18" xfId="6283"/>
    <cellStyle name="Heading 4 2 2 14" xfId="6284"/>
    <cellStyle name="Heading 4 2 2 2 14" xfId="6285"/>
    <cellStyle name="Heading 4 2 2 2 2 13" xfId="6286"/>
    <cellStyle name="Heading 4 2 2 2 2 2 13" xfId="6287"/>
    <cellStyle name="Heading 4 2 2 2 2 2 2 12" xfId="6288"/>
    <cellStyle name="Heading 4 2 2 2 2 2 2 2 12" xfId="6289"/>
    <cellStyle name="Heading 4 2 2 2 2 2 2 2 2 11" xfId="6290"/>
    <cellStyle name="Heading 4 2 2 2 2 2 2 2 2 2 11" xfId="6291"/>
    <cellStyle name="Heading 4 2 2 2 2 2 2 2 2 2 2 11" xfId="6292"/>
    <cellStyle name="Total 17" xfId="6293"/>
    <cellStyle name="Total 2 16" xfId="6294"/>
    <cellStyle name="Total 2 2 12" xfId="6295"/>
    <cellStyle name="Total 2 2 2 12" xfId="6296"/>
    <cellStyle name="Total 2 2 2 2 11" xfId="6297"/>
    <cellStyle name="Total 2 2 2 2 2 11" xfId="6298"/>
    <cellStyle name="Total 2 2 2 2 2 2 10" xfId="6299"/>
    <cellStyle name="Total 2 2 2 2 2 2 2 10" xfId="6300"/>
    <cellStyle name="Total 2 2 2 2 2 2 2 2 9" xfId="6301"/>
    <cellStyle name="Total 2 2 2 2 2 2 2 2 2 9" xfId="6302"/>
    <cellStyle name="Total 2 2 2 2 2 2 2 2 2 2 9" xfId="6303"/>
    <cellStyle name="20% - Accent2 2 2 2 2 2 2 2 2 2 2 10" xfId="6304"/>
    <cellStyle name="20% - Accent2 2 2 2 2 2 2 2 2 2 10" xfId="6305"/>
    <cellStyle name="20% - Accent2 2 2 2 2 2 2 2 2 10" xfId="6306"/>
    <cellStyle name="20% - Accent2 2 2 2 2 2 2 2 11" xfId="6307"/>
    <cellStyle name="20% - Accent2 2 2 2 2 2 2 11" xfId="6308"/>
    <cellStyle name="20% - Accent2 2 2 2 2 2 12" xfId="6309"/>
    <cellStyle name="20% - Accent2 2 2 2 2 12" xfId="6310"/>
    <cellStyle name="20% - Accent2 2 2 2 13" xfId="6311"/>
    <cellStyle name="20% - Accent2 2 2 13" xfId="6312"/>
    <cellStyle name="20% - Accent2 2 17" xfId="6313"/>
    <cellStyle name="20% - Accent2 18" xfId="6314"/>
    <cellStyle name="Warning Text 17" xfId="6315"/>
    <cellStyle name="Warning Text 2 16" xfId="6316"/>
    <cellStyle name="Warning Text 2 2 12" xfId="6317"/>
    <cellStyle name="Warning Text 2 2 2 12" xfId="6318"/>
    <cellStyle name="Warning Text 2 2 2 2 11" xfId="6319"/>
    <cellStyle name="Warning Text 2 2 2 2 2 11" xfId="6320"/>
    <cellStyle name="Warning Text 2 2 2 2 2 2 10" xfId="6321"/>
    <cellStyle name="Warning Text 2 2 2 2 2 2 2 10" xfId="6322"/>
    <cellStyle name="Warning Text 2 2 2 2 2 2 2 2 9" xfId="6323"/>
    <cellStyle name="Warning Text 2 2 2 2 2 2 2 2 2 9" xfId="6324"/>
    <cellStyle name="Warning Text 2 2 2 2 2 2 2 2 2 2 9" xfId="6325"/>
    <cellStyle name="Input 19" xfId="6326"/>
    <cellStyle name="Input 2 18" xfId="6327"/>
    <cellStyle name="Input 2 2 14" xfId="6328"/>
    <cellStyle name="Input 2 2 2 14" xfId="6329"/>
    <cellStyle name="Input 2 2 2 2 13" xfId="6330"/>
    <cellStyle name="Input 2 2 2 2 2 13" xfId="6331"/>
    <cellStyle name="Input 2 2 2 2 2 2 12" xfId="6332"/>
    <cellStyle name="Input 2 2 2 2 2 2 2 12" xfId="6333"/>
    <cellStyle name="Input 2 2 2 2 2 2 2 2 11" xfId="6334"/>
    <cellStyle name="Input 2 2 2 2 2 2 2 2 2 11" xfId="6335"/>
    <cellStyle name="Input 2 2 2 2 2 2 2 2 2 2 11" xfId="6336"/>
    <cellStyle name="20% - Accent1 2 2 2 2 2 2 2 2 2 2 10" xfId="6337"/>
    <cellStyle name="20% - Accent1 2 2 2 2 2 2 2 2 2 10" xfId="6338"/>
    <cellStyle name="20% - Accent1 2 2 2 2 2 2 2 2 10" xfId="6339"/>
    <cellStyle name="20% - Accent1 2 2 2 2 2 2 2 11" xfId="6340"/>
    <cellStyle name="20% - Accent1 2 2 2 2 2 2 11" xfId="6341"/>
    <cellStyle name="20% - Accent1 2 2 2 2 2 12" xfId="6342"/>
    <cellStyle name="20% - Accent1 2 2 2 2 12" xfId="6343"/>
    <cellStyle name="20% - Accent1 2 2 2 13" xfId="6344"/>
    <cellStyle name="20% - Accent1 2 2 13" xfId="6345"/>
    <cellStyle name="20% - Accent1 2 17" xfId="6346"/>
    <cellStyle name="20% - Accent1 18" xfId="6347"/>
    <cellStyle name="Normal 19" xfId="6348"/>
    <cellStyle name="40% - Accent1 2 2 2 2 2 2 12" xfId="6349"/>
    <cellStyle name="40% - Accent1 2 2 2 2 2 13" xfId="6350"/>
    <cellStyle name="40% - Accent1 2 2 2 2 13" xfId="6351"/>
    <cellStyle name="40% - Accent1 2 2 2 14" xfId="6352"/>
    <cellStyle name="40% - Accent1 2 2 14" xfId="6353"/>
    <cellStyle name="40% - Accent1 2 18" xfId="6354"/>
    <cellStyle name="40% - Accent1 19" xfId="6355"/>
    <cellStyle name="Linked Cell 18" xfId="6356"/>
    <cellStyle name="Linked Cell 2 17" xfId="6357"/>
    <cellStyle name="Linked Cell 2 2 13" xfId="6358"/>
    <cellStyle name="Linked Cell 2 2 2 13" xfId="6359"/>
    <cellStyle name="Linked Cell 2 2 2 2 12" xfId="6360"/>
    <cellStyle name="Linked Cell 2 2 2 2 2 12" xfId="6361"/>
    <cellStyle name="Linked Cell 2 2 2 2 2 2 11" xfId="6362"/>
    <cellStyle name="Linked Cell 2 2 2 2 2 2 2 11" xfId="6363"/>
    <cellStyle name="Linked Cell 2 2 2 2 2 2 2 2 10" xfId="6364"/>
    <cellStyle name="Linked Cell 2 2 2 2 2 2 2 2 2 10" xfId="6365"/>
    <cellStyle name="Linked Cell 2 2 2 2 2 2 2 2 2 2 10" xfId="6366"/>
    <cellStyle name="20% - Accent6 2 2 2 2 2 2 2 2 2 2 11" xfId="6367"/>
    <cellStyle name="20% - Accent6 2 2 2 2 2 2 2 2 2 11" xfId="6368"/>
    <cellStyle name="20% - Accent6 2 2 2 2 2 2 2 2 11" xfId="6369"/>
    <cellStyle name="20% - Accent6 2 2 2 2 2 2 2 12" xfId="6370"/>
    <cellStyle name="20% - Accent6 2 2 2 2 2 2 12" xfId="6371"/>
    <cellStyle name="20% - Accent6 2 2 2 2 2 13" xfId="6372"/>
    <cellStyle name="20% - Accent6 2 2 2 2 13" xfId="6373"/>
    <cellStyle name="20% - Accent6 2 2 2 14" xfId="6374"/>
    <cellStyle name="20% - Accent6 2 2 14" xfId="6375"/>
    <cellStyle name="20% - Accent6 2 18" xfId="6376"/>
    <cellStyle name="20% - Accent6 19" xfId="6377"/>
    <cellStyle name="Neutral 18" xfId="6378"/>
    <cellStyle name="Neutral 2 17" xfId="6379"/>
    <cellStyle name="Neutral 2 2 13" xfId="6380"/>
    <cellStyle name="Neutral 2 2 2 13" xfId="6381"/>
    <cellStyle name="Neutral 2 2 2 2 12" xfId="6382"/>
    <cellStyle name="Neutral 2 2 2 2 2 12" xfId="6383"/>
    <cellStyle name="Neutral 2 2 2 2 2 2 11" xfId="6384"/>
    <cellStyle name="Neutral 2 2 2 2 2 2 2 11" xfId="6385"/>
    <cellStyle name="Neutral 2 2 2 2 2 2 2 2 10" xfId="6386"/>
    <cellStyle name="Neutral 2 2 2 2 2 2 2 2 2 10" xfId="6387"/>
    <cellStyle name="Neutral 2 2 2 2 2 2 2 2 2 2 10" xfId="6388"/>
    <cellStyle name="20% - Accent5 2 2 2 2 2 2 2 2 2 2 11" xfId="6389"/>
    <cellStyle name="20% - Accent5 2 2 2 2 2 2 2 2 2 11" xfId="6390"/>
    <cellStyle name="20% - Accent5 2 2 2 2 2 2 2 2 11" xfId="6391"/>
    <cellStyle name="20% - Accent5 2 2 2 2 2 2 2 12" xfId="6392"/>
    <cellStyle name="20% - Accent5 2 2 2 2 2 2 12" xfId="6393"/>
    <cellStyle name="20% - Accent5 2 2 2 2 2 13" xfId="6394"/>
    <cellStyle name="20% - Accent5 2 2 2 2 13" xfId="6395"/>
    <cellStyle name="20% - Accent5 2 2 2 14" xfId="6396"/>
    <cellStyle name="20% - Accent5 2 2 14" xfId="6397"/>
    <cellStyle name="20% - Accent5 2 18" xfId="6398"/>
    <cellStyle name="20% - Accent5 19" xfId="6399"/>
    <cellStyle name="Normal 2 18" xfId="6400"/>
    <cellStyle name="Normal 2 2 13" xfId="6401"/>
    <cellStyle name="Normal 2 2 2 13" xfId="6402"/>
    <cellStyle name="Normal 2 2 2 2 12" xfId="6403"/>
    <cellStyle name="Normal 2 2 2 2 2 12" xfId="6404"/>
    <cellStyle name="Normal 2 2 2 2 2 2 11" xfId="6405"/>
    <cellStyle name="Normal 2 2 2 2 2 2 2 11" xfId="6406"/>
    <cellStyle name="Normal 2 2 2 2 2 2 2 2 10" xfId="6407"/>
    <cellStyle name="Normal 2 2 2 2 2 2 2 2 2 10" xfId="6408"/>
    <cellStyle name="Normal 2 2 2 2 2 2 2 2 2 2 10" xfId="6409"/>
    <cellStyle name="Normal 2 3 10" xfId="6410"/>
    <cellStyle name="Normal 3 10" xfId="6411"/>
    <cellStyle name="Note 24" xfId="6412"/>
    <cellStyle name="20% - Accent4 2 2 2 2 2 2 2 2 2 2 11" xfId="6413"/>
    <cellStyle name="20% - Accent4 2 2 2 2 2 2 2 2 2 11" xfId="6414"/>
    <cellStyle name="20% - Accent4 2 2 2 2 2 2 2 2 11" xfId="6415"/>
    <cellStyle name="20% - Accent4 2 2 2 2 2 2 2 12" xfId="6416"/>
    <cellStyle name="20% - Accent4 2 2 2 2 2 2 12" xfId="6417"/>
    <cellStyle name="20% - Accent4 2 2 2 2 2 13" xfId="6418"/>
    <cellStyle name="20% - Accent4 2 2 2 2 13" xfId="6419"/>
    <cellStyle name="20% - Accent4 2 2 2 14" xfId="6420"/>
    <cellStyle name="Note 2 10" xfId="6421"/>
    <cellStyle name="20% - Accent4 2 2 14" xfId="6422"/>
    <cellStyle name="20% - Accent4 2 18" xfId="6423"/>
    <cellStyle name="20% - Accent4 19" xfId="6424"/>
    <cellStyle name="Output 18" xfId="6425"/>
    <cellStyle name="Output 2 17" xfId="6426"/>
    <cellStyle name="Output 2 2 13" xfId="6427"/>
    <cellStyle name="Output 2 2 2 13" xfId="6428"/>
    <cellStyle name="Output 2 2 2 2 12" xfId="6429"/>
    <cellStyle name="Output 2 2 2 2 2 12" xfId="6430"/>
    <cellStyle name="Output 2 2 2 2 2 2 11" xfId="6431"/>
    <cellStyle name="Output 2 2 2 2 2 2 2 11" xfId="6432"/>
    <cellStyle name="Output 2 2 2 2 2 2 2 2 10" xfId="6433"/>
    <cellStyle name="Output 2 2 2 2 2 2 2 2 2 10" xfId="6434"/>
    <cellStyle name="Output 2 2 2 2 2 2 2 2 2 2 10" xfId="6435"/>
    <cellStyle name="20% - Accent3 2 2 2 2 2 2 2 2 2 2 11" xfId="6436"/>
    <cellStyle name="20% - Accent3 2 2 2 2 2 2 2 2 2 11" xfId="6437"/>
    <cellStyle name="20% - Accent3 2 2 2 2 2 2 2 2 11" xfId="6438"/>
    <cellStyle name="20% - Accent3 2 2 2 2 2 2 2 12" xfId="6439"/>
    <cellStyle name="Title 17" xfId="6440"/>
    <cellStyle name="Title 2 13" xfId="6441"/>
    <cellStyle name="Title 2 2 13" xfId="6442"/>
    <cellStyle name="Title 2 2 2 12" xfId="6443"/>
    <cellStyle name="Title 2 2 2 2 12" xfId="6444"/>
    <cellStyle name="Title 2 2 2 2 2 11" xfId="6445"/>
    <cellStyle name="Title 2 2 2 2 2 2 11" xfId="6446"/>
    <cellStyle name="Title 2 2 2 2 2 2 2 10" xfId="6447"/>
    <cellStyle name="Title 2 2 2 2 2 2 2 2 10" xfId="6448"/>
    <cellStyle name="Title 2 2 2 2 2 2 2 2 2 10" xfId="6449"/>
    <cellStyle name="20% - Accent3 2 2 2 2 2 2 12" xfId="6450"/>
    <cellStyle name="20% - Accent3 2 2 2 2 2 13" xfId="6451"/>
    <cellStyle name="20% - Accent3 2 2 2 2 13" xfId="6452"/>
    <cellStyle name="20% - Accent3 2 2 2 14" xfId="6453"/>
    <cellStyle name="20% - Accent3 2 2 14" xfId="6454"/>
    <cellStyle name="20% - Accent3 2 18" xfId="6455"/>
    <cellStyle name="20% - Accent3 19" xfId="6456"/>
    <cellStyle name="Total 18" xfId="6457"/>
    <cellStyle name="Total 2 17" xfId="6458"/>
    <cellStyle name="Total 2 2 13" xfId="6459"/>
    <cellStyle name="Total 2 2 2 13" xfId="6460"/>
    <cellStyle name="Total 2 2 2 2 12" xfId="6461"/>
    <cellStyle name="Total 2 2 2 2 2 12" xfId="6462"/>
    <cellStyle name="Total 2 2 2 2 2 2 11" xfId="6463"/>
    <cellStyle name="Total 2 2 2 2 2 2 2 11" xfId="6464"/>
    <cellStyle name="Total 2 2 2 2 2 2 2 2 10" xfId="6465"/>
    <cellStyle name="Total 2 2 2 2 2 2 2 2 2 10" xfId="6466"/>
    <cellStyle name="Total 2 2 2 2 2 2 2 2 2 2 10" xfId="6467"/>
    <cellStyle name="20% - Accent2 2 2 2 2 2 2 2 2 2 2 11" xfId="6468"/>
    <cellStyle name="20% - Accent2 2 2 2 2 2 2 2 2 2 11" xfId="6469"/>
    <cellStyle name="20% - Accent2 2 2 2 2 2 2 2 2 11" xfId="6470"/>
    <cellStyle name="20% - Accent2 2 2 2 2 2 2 2 12" xfId="6471"/>
    <cellStyle name="20% - Accent2 2 2 2 2 2 2 12" xfId="6472"/>
    <cellStyle name="20% - Accent2 2 2 2 2 2 13" xfId="6473"/>
    <cellStyle name="20% - Accent2 2 2 2 2 13" xfId="6474"/>
    <cellStyle name="20% - Accent2 2 2 2 14" xfId="6475"/>
    <cellStyle name="20% - Accent2 2 2 14" xfId="6476"/>
    <cellStyle name="20% - Accent2 2 18" xfId="6477"/>
    <cellStyle name="20% - Accent2 19" xfId="6478"/>
    <cellStyle name="Warning Text 18" xfId="6479"/>
    <cellStyle name="Warning Text 2 17" xfId="6480"/>
    <cellStyle name="Warning Text 2 2 13" xfId="6481"/>
    <cellStyle name="Warning Text 2 2 2 13" xfId="6482"/>
    <cellStyle name="Warning Text 2 2 2 2 12" xfId="6483"/>
    <cellStyle name="Warning Text 2 2 2 2 2 12" xfId="6484"/>
    <cellStyle name="Warning Text 2 2 2 2 2 2 11" xfId="6485"/>
    <cellStyle name="Warning Text 2 2 2 2 2 2 2 11" xfId="6486"/>
    <cellStyle name="Warning Text 2 2 2 2 2 2 2 2 10" xfId="6487"/>
    <cellStyle name="Warning Text 2 2 2 2 2 2 2 2 2 10" xfId="6488"/>
    <cellStyle name="Warning Text 2 2 2 2 2 2 2 2 2 2 10" xfId="6489"/>
    <cellStyle name="20% - Accent1 2 2 2 2 2 2 2 2 2 2 11" xfId="6490"/>
    <cellStyle name="20% - Accent1 2 2 2 2 2 2 2 2 2 11" xfId="6491"/>
    <cellStyle name="20% - Accent1 2 2 2 2 2 2 2 2 11" xfId="6492"/>
    <cellStyle name="20% - Accent1 2 2 2 2 2 2 2 12" xfId="6493"/>
    <cellStyle name="20% - Accent1 2 2 2 2 2 2 12" xfId="6494"/>
    <cellStyle name="20% - Accent1 2 2 2 2 2 13" xfId="6495"/>
    <cellStyle name="20% - Accent1 2 2 2 2 13" xfId="6496"/>
    <cellStyle name="20% - Accent1 2 2 2 14" xfId="6497"/>
    <cellStyle name="20% - Accent1 2 2 14" xfId="6498"/>
    <cellStyle name="20% - Accent1 2 18" xfId="6499"/>
    <cellStyle name="20% - Accent1 19" xfId="6500"/>
    <cellStyle name="Normal 20" xfId="6501"/>
    <cellStyle name="Linked Cell 19" xfId="6502"/>
    <cellStyle name="Linked Cell 2 18" xfId="6503"/>
    <cellStyle name="Linked Cell 2 2 14" xfId="6504"/>
    <cellStyle name="Linked Cell 2 2 2 14" xfId="6505"/>
    <cellStyle name="Linked Cell 2 2 2 2 13" xfId="6506"/>
    <cellStyle name="Linked Cell 2 2 2 2 2 13" xfId="6507"/>
    <cellStyle name="Linked Cell 2 2 2 2 2 2 12" xfId="6508"/>
    <cellStyle name="Linked Cell 2 2 2 2 2 2 2 12" xfId="6509"/>
    <cellStyle name="Linked Cell 2 2 2 2 2 2 2 2 11" xfId="6510"/>
    <cellStyle name="Linked Cell 2 2 2 2 2 2 2 2 2 11" xfId="6511"/>
    <cellStyle name="Linked Cell 2 2 2 2 2 2 2 2 2 2 11" xfId="6512"/>
    <cellStyle name="Neutral 19" xfId="6513"/>
    <cellStyle name="Neutral 2 18" xfId="6514"/>
    <cellStyle name="Neutral 2 2 14" xfId="6515"/>
    <cellStyle name="Neutral 2 2 2 14" xfId="6516"/>
    <cellStyle name="Neutral 2 2 2 2 13" xfId="6517"/>
    <cellStyle name="Neutral 2 2 2 2 2 13" xfId="6518"/>
    <cellStyle name="Neutral 2 2 2 2 2 2 12" xfId="6519"/>
    <cellStyle name="Neutral 2 2 2 2 2 2 2 12" xfId="6520"/>
    <cellStyle name="Neutral 2 2 2 2 2 2 2 2 11" xfId="6521"/>
    <cellStyle name="Neutral 2 2 2 2 2 2 2 2 2 11" xfId="6522"/>
    <cellStyle name="Neutral 2 2 2 2 2 2 2 2 2 2 11" xfId="6523"/>
    <cellStyle name="Normal 2 19" xfId="6524"/>
    <cellStyle name="Normal 2 2 14" xfId="6525"/>
    <cellStyle name="Normal 2 2 2 14" xfId="6526"/>
    <cellStyle name="Normal 2 2 2 2 13" xfId="6527"/>
    <cellStyle name="Normal 2 2 2 2 2 13" xfId="6528"/>
    <cellStyle name="Normal 2 2 2 2 2 2 12" xfId="6529"/>
    <cellStyle name="Normal 2 2 2 2 2 2 2 12" xfId="6530"/>
    <cellStyle name="Normal 2 2 2 2 2 2 2 2 11" xfId="6531"/>
    <cellStyle name="Normal 2 2 2 2 2 2 2 2 2 11" xfId="6532"/>
    <cellStyle name="Normal 2 2 2 2 2 2 2 2 2 2 11" xfId="6533"/>
    <cellStyle name="Normal 2 3 11" xfId="6534"/>
    <cellStyle name="Normal 3 11" xfId="6535"/>
    <cellStyle name="Note 25" xfId="6536"/>
    <cellStyle name="Note 2 11" xfId="6537"/>
    <cellStyle name="Output 19" xfId="6538"/>
    <cellStyle name="Output 2 18" xfId="6539"/>
    <cellStyle name="Output 2 2 14" xfId="6540"/>
    <cellStyle name="Output 2 2 2 14" xfId="6541"/>
    <cellStyle name="Output 2 2 2 2 13" xfId="6542"/>
    <cellStyle name="Output 2 2 2 2 2 13" xfId="6543"/>
    <cellStyle name="Output 2 2 2 2 2 2 12" xfId="6544"/>
    <cellStyle name="Output 2 2 2 2 2 2 2 12" xfId="6545"/>
    <cellStyle name="Output 2 2 2 2 2 2 2 2 11" xfId="6546"/>
    <cellStyle name="Output 2 2 2 2 2 2 2 2 2 11" xfId="6547"/>
    <cellStyle name="Output 2 2 2 2 2 2 2 2 2 2 11" xfId="6548"/>
    <cellStyle name="Title 18" xfId="6549"/>
    <cellStyle name="Title 2 14" xfId="6550"/>
    <cellStyle name="Title 2 2 14" xfId="6551"/>
    <cellStyle name="Title 2 2 2 13" xfId="6552"/>
    <cellStyle name="Title 2 2 2 2 13" xfId="6553"/>
    <cellStyle name="Title 2 2 2 2 2 12" xfId="6554"/>
    <cellStyle name="Title 2 2 2 2 2 2 12" xfId="6555"/>
    <cellStyle name="Title 2 2 2 2 2 2 2 11" xfId="6556"/>
    <cellStyle name="Title 2 2 2 2 2 2 2 2 11" xfId="6557"/>
    <cellStyle name="Title 2 2 2 2 2 2 2 2 2 11" xfId="6558"/>
    <cellStyle name="Total 19" xfId="6559"/>
    <cellStyle name="Total 2 18" xfId="6560"/>
    <cellStyle name="Total 2 2 14" xfId="6561"/>
    <cellStyle name="Total 2 2 2 14" xfId="6562"/>
    <cellStyle name="Total 2 2 2 2 13" xfId="6563"/>
    <cellStyle name="Total 2 2 2 2 2 13" xfId="6564"/>
    <cellStyle name="Total 2 2 2 2 2 2 12" xfId="6565"/>
    <cellStyle name="Total 2 2 2 2 2 2 2 12" xfId="6566"/>
    <cellStyle name="Total 2 2 2 2 2 2 2 2 11" xfId="6567"/>
    <cellStyle name="Total 2 2 2 2 2 2 2 2 2 11" xfId="6568"/>
    <cellStyle name="Total 2 2 2 2 2 2 2 2 2 2 11" xfId="6569"/>
    <cellStyle name="Warning Text 19" xfId="6570"/>
    <cellStyle name="Warning Text 2 18" xfId="6571"/>
    <cellStyle name="Warning Text 2 2 14" xfId="6572"/>
    <cellStyle name="Warning Text 2 2 2 14" xfId="6573"/>
    <cellStyle name="Warning Text 2 2 2 2 13" xfId="6574"/>
    <cellStyle name="Warning Text 2 2 2 2 2 13" xfId="6575"/>
    <cellStyle name="Warning Text 2 2 2 2 2 2 12" xfId="6576"/>
    <cellStyle name="Warning Text 2 2 2 2 2 2 2 12" xfId="6577"/>
    <cellStyle name="Warning Text 2 2 2 2 2 2 2 2 11" xfId="6578"/>
    <cellStyle name="Warning Text 2 2 2 2 2 2 2 2 2 11" xfId="6579"/>
    <cellStyle name="Warning Text 2 2 2 2 2 2 2 2 2 2 11" xfId="6580"/>
    <cellStyle name="Normal 21" xfId="6581"/>
    <cellStyle name="Normal 22" xfId="6582"/>
    <cellStyle name="Normal 23" xfId="6583"/>
    <cellStyle name="Normal 24" xfId="6584"/>
    <cellStyle name="Title 19" xfId="6585"/>
    <cellStyle name="Normal 25" xfId="6586"/>
    <cellStyle name="20% - Accent1 20" xfId="6587"/>
    <cellStyle name="20% - Accent1 2 19" xfId="6588"/>
    <cellStyle name="20% - Accent2 20" xfId="6589"/>
    <cellStyle name="20% - Accent2 2 19" xfId="6590"/>
    <cellStyle name="20% - Accent3 20" xfId="6591"/>
    <cellStyle name="20% - Accent3 2 19" xfId="6592"/>
    <cellStyle name="20% - Accent4 20" xfId="6593"/>
    <cellStyle name="20% - Accent4 2 19" xfId="6594"/>
    <cellStyle name="20% - Accent5 20" xfId="6595"/>
    <cellStyle name="20% - Accent5 2 19" xfId="6596"/>
    <cellStyle name="20% - Accent6 20" xfId="6597"/>
    <cellStyle name="20% - Accent6 2 19" xfId="6598"/>
    <cellStyle name="40% - Accent1 20" xfId="6599"/>
    <cellStyle name="40% - Accent1 2 19" xfId="6600"/>
    <cellStyle name="40% - Accent2 20" xfId="6601"/>
    <cellStyle name="40% - Accent2 2 19" xfId="6602"/>
    <cellStyle name="40% - Accent3 20" xfId="6603"/>
    <cellStyle name="40% - Accent3 2 19" xfId="6604"/>
    <cellStyle name="40% - Accent4 20" xfId="6605"/>
    <cellStyle name="40% - Accent4 2 19" xfId="6606"/>
    <cellStyle name="40% - Accent5 20" xfId="6607"/>
    <cellStyle name="40% - Accent5 2 19" xfId="6608"/>
    <cellStyle name="40% - Accent6 20" xfId="6609"/>
    <cellStyle name="40% - Accent6 2 19" xfId="6610"/>
    <cellStyle name="60% - Accent1 20" xfId="6611"/>
    <cellStyle name="60% - Accent1 2 19" xfId="6612"/>
    <cellStyle name="60% - Accent2 20" xfId="6613"/>
    <cellStyle name="60% - Accent2 2 19" xfId="6614"/>
    <cellStyle name="60% - Accent3 20" xfId="6615"/>
    <cellStyle name="60% - Accent3 2 19" xfId="6616"/>
    <cellStyle name="60% - Accent4 20" xfId="6617"/>
    <cellStyle name="60% - Accent4 2 19" xfId="6618"/>
    <cellStyle name="60% - Accent5 20" xfId="6619"/>
    <cellStyle name="60% - Accent5 2 19" xfId="6620"/>
    <cellStyle name="60% - Accent6 20" xfId="6621"/>
    <cellStyle name="60% - Accent6 2 19" xfId="6622"/>
    <cellStyle name="Accent1 20" xfId="6623"/>
    <cellStyle name="Accent1 2 19" xfId="6624"/>
    <cellStyle name="Accent2 20" xfId="6625"/>
    <cellStyle name="Accent2 2 19" xfId="6626"/>
    <cellStyle name="Accent3 20" xfId="6627"/>
    <cellStyle name="Accent3 2 19" xfId="6628"/>
    <cellStyle name="Accent4 20" xfId="6629"/>
    <cellStyle name="Accent4 2 19" xfId="6630"/>
    <cellStyle name="Accent5 20" xfId="6631"/>
    <cellStyle name="Accent5 2 19" xfId="6632"/>
    <cellStyle name="Accent6 20" xfId="6633"/>
    <cellStyle name="Accent6 2 19" xfId="6634"/>
    <cellStyle name="Bad 20" xfId="6635"/>
    <cellStyle name="Bad 2 19" xfId="6636"/>
    <cellStyle name="Calculation 20" xfId="6637"/>
    <cellStyle name="Calculation 2 19" xfId="6638"/>
    <cellStyle name="Check Cell 20" xfId="6639"/>
    <cellStyle name="Check Cell 2 19" xfId="6640"/>
    <cellStyle name="Explanatory Text 20" xfId="6641"/>
    <cellStyle name="Explanatory Text 2 19" xfId="6642"/>
    <cellStyle name="Good 20" xfId="6643"/>
    <cellStyle name="Good 2 19" xfId="6644"/>
    <cellStyle name="Heading 1 20" xfId="6645"/>
    <cellStyle name="Heading 1 2 19" xfId="6646"/>
    <cellStyle name="Heading 2 20" xfId="6647"/>
    <cellStyle name="Heading 2 2 19" xfId="6648"/>
    <cellStyle name="Heading 3 20" xfId="6649"/>
    <cellStyle name="Heading 3 2 19" xfId="6650"/>
    <cellStyle name="Heading 4 20" xfId="6651"/>
    <cellStyle name="Heading 4 2 19" xfId="6652"/>
    <cellStyle name="Input 20" xfId="6653"/>
    <cellStyle name="Input 2 19" xfId="6654"/>
    <cellStyle name="Linked Cell 20" xfId="6655"/>
    <cellStyle name="Linked Cell 2 19" xfId="6656"/>
    <cellStyle name="Neutral 20" xfId="6657"/>
    <cellStyle name="Neutral 2 19" xfId="6658"/>
    <cellStyle name="Normal 3 12" xfId="6659"/>
    <cellStyle name="Note 10 2" xfId="6660"/>
    <cellStyle name="Note 11 3" xfId="6661"/>
    <cellStyle name="Note 12 3" xfId="6662"/>
    <cellStyle name="Note 13 4" xfId="6663"/>
    <cellStyle name="Note 2 12" xfId="6664"/>
    <cellStyle name="Note 3 2" xfId="6665"/>
    <cellStyle name="Note 4 2" xfId="6666"/>
    <cellStyle name="Note 5 2" xfId="6667"/>
    <cellStyle name="Note 6 2" xfId="6668"/>
    <cellStyle name="Note 7 2" xfId="6669"/>
    <cellStyle name="Note 8 2" xfId="6670"/>
    <cellStyle name="Note 9 2" xfId="6671"/>
    <cellStyle name="Output 20" xfId="6672"/>
    <cellStyle name="Output 2 19" xfId="6673"/>
    <cellStyle name="Total 20" xfId="6674"/>
    <cellStyle name="Total 2 19" xfId="6675"/>
    <cellStyle name="Warning Text 20" xfId="6676"/>
    <cellStyle name="Warning Text 2 19" xfId="6677"/>
    <cellStyle name="Normal 26" xfId="6678"/>
    <cellStyle name="Normal 27" xfId="6679"/>
    <cellStyle name="Normal 28" xfId="6680"/>
    <cellStyle name="Normal 29" xfId="6681"/>
    <cellStyle name="Normal 30" xfId="6682"/>
    <cellStyle name="Normal 31" xfId="6683"/>
    <cellStyle name="Normal 32" xfId="6684"/>
    <cellStyle name="Normal 33" xfId="6685"/>
    <cellStyle name="Normal 34" xfId="6686"/>
    <cellStyle name="Normal 35" xfId="6687"/>
    <cellStyle name="Normal 36" xfId="6688"/>
    <cellStyle name="Normal 37" xfId="6689"/>
    <cellStyle name="Note 17 3" xfId="6690"/>
    <cellStyle name="Total 12 3" xfId="6691"/>
    <cellStyle name="Calculation 3 3 4" xfId="6692"/>
    <cellStyle name="Input 19 4" xfId="6693"/>
    <cellStyle name="Note 14 2 6" xfId="6694"/>
    <cellStyle name="Total 19 2" xfId="6695"/>
    <cellStyle name="Output 19 2" xfId="6696"/>
    <cellStyle name="Note 25 2" xfId="6697"/>
    <cellStyle name="Calculation 12 5" xfId="6698"/>
    <cellStyle name="Output 15 3" xfId="6699"/>
    <cellStyle name="Calculation 4 2 2 3 4" xfId="6700"/>
    <cellStyle name="Output 17 2" xfId="6701"/>
    <cellStyle name="Total 4 3 4" xfId="6702"/>
    <cellStyle name="Total 3 3 4" xfId="6703"/>
    <cellStyle name="Note 22 6" xfId="6704"/>
    <cellStyle name="Output 16 5" xfId="6705"/>
    <cellStyle name="Note 23 2" xfId="6706"/>
    <cellStyle name="Total 2 23" xfId="6707"/>
    <cellStyle name="Input 13 4" xfId="6708"/>
    <cellStyle name="Input 18 2" xfId="6709"/>
    <cellStyle name="Output 16 4" xfId="6710"/>
    <cellStyle name="Total 16 2" xfId="6711"/>
    <cellStyle name="Calculation 14 5" xfId="6712"/>
    <cellStyle name="Calculation 4 2 2 3 5" xfId="6713"/>
    <cellStyle name="Total 3 3 5" xfId="6714"/>
    <cellStyle name="Total 14 4" xfId="6715"/>
    <cellStyle name="Calculation 17 4" xfId="6716"/>
    <cellStyle name="Total 18 6" xfId="6717"/>
    <cellStyle name="Total 15 6" xfId="6718"/>
    <cellStyle name="Input 4 2 2 2 2 2 6" xfId="6719"/>
    <cellStyle name="Input 4 2 2 3 5" xfId="6720"/>
    <cellStyle name="Calculation 4 3 3" xfId="6721"/>
    <cellStyle name="Output 15 2" xfId="6722"/>
    <cellStyle name="Total 4 2 2 3 4" xfId="6723"/>
    <cellStyle name="Note 20 4" xfId="6724"/>
    <cellStyle name="Note 21 2" xfId="6725"/>
    <cellStyle name="Output 13 3" xfId="6726"/>
    <cellStyle name="Note 25 5" xfId="6727"/>
    <cellStyle name="Calculation 4 2 2 2 6" xfId="6728"/>
    <cellStyle name="Calculation 4 2 2 3 6" xfId="6729"/>
    <cellStyle name="Input 16 2" xfId="6730"/>
    <cellStyle name="Note 20 2" xfId="6731"/>
    <cellStyle name="Input 12 3" xfId="6732"/>
    <cellStyle name="Input 2 22" xfId="6733"/>
    <cellStyle name="Input 15 2" xfId="6734"/>
    <cellStyle name="Calculation 19 2" xfId="6735"/>
    <cellStyle name="Output 17 5" xfId="6736"/>
    <cellStyle name="Calculation 4 2 2 2 2 2 6" xfId="6737"/>
    <cellStyle name="Note 19 2" xfId="6738"/>
    <cellStyle name="Input 12 6" xfId="6739"/>
    <cellStyle name="Calculation 16 4" xfId="6740"/>
    <cellStyle name="Calculation 18 6" xfId="6741"/>
    <cellStyle name="Input 14 2" xfId="6742"/>
    <cellStyle name="Total 18 4" xfId="6743"/>
    <cellStyle name="Output 15 4" xfId="6744"/>
    <cellStyle name="Calculation 4 2 7" xfId="6745"/>
    <cellStyle name="Note 17 5" xfId="6746"/>
    <cellStyle name="Calculation 15 5" xfId="6747"/>
    <cellStyle name="Output 12 2" xfId="6748"/>
    <cellStyle name="Total 4 2 2 2 5" xfId="6749"/>
    <cellStyle name="Calculation 4 2 6" xfId="6750"/>
    <cellStyle name="Total 4 2 8" xfId="6751"/>
    <cellStyle name="Input 4 2 7" xfId="6752"/>
    <cellStyle name="Output 16 6" xfId="6753"/>
    <cellStyle name="Input 4 2 6" xfId="6754"/>
    <cellStyle name="Input 14 3" xfId="6755"/>
    <cellStyle name="Input 13 2" xfId="6756"/>
    <cellStyle name="Calculation 17 2" xfId="6757"/>
    <cellStyle name="Input 15 5" xfId="6758"/>
    <cellStyle name="Total 11 2" xfId="6759"/>
    <cellStyle name="Input 4 3 5" xfId="6760"/>
    <cellStyle name="Input 17 3" xfId="6761"/>
    <cellStyle name="Output 4 2 2 2 4" xfId="6762"/>
    <cellStyle name="Input 19 6" xfId="6763"/>
    <cellStyle name="Note 20 6" xfId="6764"/>
    <cellStyle name="Input 11 2" xfId="6765"/>
    <cellStyle name="Input 6 3 5" xfId="6766"/>
    <cellStyle name="Note 18 3" xfId="6767"/>
    <cellStyle name="Calculation 17 6" xfId="6768"/>
    <cellStyle name="Input 3 3 5" xfId="6769"/>
    <cellStyle name="Calculation 16 5" xfId="6770"/>
    <cellStyle name="Calculation 13 2" xfId="6771"/>
    <cellStyle name="Output 12 3" xfId="6772"/>
    <cellStyle name="Input 16 4" xfId="6773"/>
    <cellStyle name="Output 3 3 6" xfId="6774"/>
    <cellStyle name="Total 4 2 7" xfId="6775"/>
    <cellStyle name="Output 4 2 2 3 5" xfId="6776"/>
    <cellStyle name="Calculation 13 3" xfId="6777"/>
    <cellStyle name="Calculation 4 2 8" xfId="6778"/>
    <cellStyle name="Calculation 11 3" xfId="6779"/>
    <cellStyle name="Input 6 3 4" xfId="6780"/>
    <cellStyle name="Calculation 13 6" xfId="6781"/>
    <cellStyle name="Total 14 6" xfId="6782"/>
    <cellStyle name="Calculation 12 2" xfId="6783"/>
    <cellStyle name="Total 18 5" xfId="6784"/>
    <cellStyle name="Total 4 2 2 2 6" xfId="6785"/>
    <cellStyle name="Calculation 19 6" xfId="6786"/>
    <cellStyle name="Calculation 14 2" xfId="6787"/>
    <cellStyle name="Input 3 3 4" xfId="6788"/>
    <cellStyle name="Output 19 4" xfId="6789"/>
    <cellStyle name="Total 14 5" xfId="6790"/>
    <cellStyle name="Total 4 2 2 3 6" xfId="6791"/>
    <cellStyle name="Calculation 16 2" xfId="6792"/>
    <cellStyle name="Calculation 16 3" xfId="6793"/>
    <cellStyle name="Input 14 6" xfId="6794"/>
    <cellStyle name="Calculation 18 5" xfId="6795"/>
    <cellStyle name="Total 4 2 2 3 2" xfId="6796"/>
    <cellStyle name="Total 4 2 2 2 3" xfId="6797"/>
    <cellStyle name="Input 4 2 2 2 7" xfId="6798"/>
    <cellStyle name="Output 6 3 2" xfId="6799"/>
    <cellStyle name="Output 4 3 2" xfId="6800"/>
    <cellStyle name="Output 4 2 2 3 2" xfId="6801"/>
    <cellStyle name="Output 4 2 2 2 2 2 2" xfId="6802"/>
    <cellStyle name="Output 4 2 2 2 3" xfId="6803"/>
    <cellStyle name="Output 4 2 4" xfId="6804"/>
    <cellStyle name="Note 16 2" xfId="6805"/>
    <cellStyle name="Calculation 4 3 6" xfId="6806"/>
    <cellStyle name="Output 14 6" xfId="6807"/>
    <cellStyle name="Input 4 2 2 3 2" xfId="6808"/>
    <cellStyle name="Input 3 3 2" xfId="6809"/>
    <cellStyle name="Calculation 11 5" xfId="6810"/>
    <cellStyle name="Input 2 20" xfId="6811"/>
    <cellStyle name="Output 4 3 4" xfId="6812"/>
    <cellStyle name="Output 2 24" xfId="6813"/>
    <cellStyle name="Calculation 4 2 2 2 2 2 4" xfId="6814"/>
    <cellStyle name="Output 4 3 3" xfId="6815"/>
    <cellStyle name="Total 4 2 2 3 3" xfId="6816"/>
    <cellStyle name="Calculation 4 3 2" xfId="6817"/>
    <cellStyle name="Calculation 4 2 4" xfId="6818"/>
    <cellStyle name="Calculation 2 23" xfId="6819"/>
    <cellStyle name="Calculation 15 4" xfId="6820"/>
    <cellStyle name="Total 12 6" xfId="6821"/>
    <cellStyle name="Output 13 6" xfId="6822"/>
    <cellStyle name="Calculation 6 3 6" xfId="6823"/>
    <cellStyle name="Input 4 2 8" xfId="6824"/>
    <cellStyle name="Input 16 5" xfId="6825"/>
    <cellStyle name="Output 4 2 2 2 2 2 6" xfId="6826"/>
    <cellStyle name="Note 18 5" xfId="6827"/>
    <cellStyle name="Output 12 4" xfId="6828"/>
    <cellStyle name="Output 11 6" xfId="6829"/>
    <cellStyle name="Input 4 2 2 2 2 2 5" xfId="6830"/>
    <cellStyle name="Note 16 6" xfId="6831"/>
    <cellStyle name="Input 4 3 4" xfId="6832"/>
    <cellStyle name="Total 13 5" xfId="6833"/>
    <cellStyle name="Note 22 5" xfId="6834"/>
    <cellStyle name="Output 15 5" xfId="6835"/>
    <cellStyle name="Input 4 2 2 3 4" xfId="6836"/>
    <cellStyle name="Input 18 6" xfId="6837"/>
    <cellStyle name="Total 4 2 2 3 5" xfId="6838"/>
    <cellStyle name="Total 16 3" xfId="6839"/>
    <cellStyle name="Total 19 4" xfId="6840"/>
    <cellStyle name="Output 18 5" xfId="6841"/>
    <cellStyle name="Calculation 4 3 5" xfId="6842"/>
    <cellStyle name="Note 23 5" xfId="6843"/>
    <cellStyle name="Output 19 6" xfId="6844"/>
    <cellStyle name="Calculation 18 4" xfId="6845"/>
    <cellStyle name="Calculation 11 4" xfId="6846"/>
    <cellStyle name="Input 3 3 3" xfId="6847"/>
    <cellStyle name="Total 4 2 2 2 2 2 4" xfId="6848"/>
    <cellStyle name="Total 11 5" xfId="6849"/>
    <cellStyle name="Input 4 2 5" xfId="6850"/>
    <cellStyle name="Total 4 2 5" xfId="6851"/>
    <cellStyle name="Total 4 3 3" xfId="6852"/>
    <cellStyle name="Calculation 4 2 2 3 2" xfId="6853"/>
    <cellStyle name="Note 23 6" xfId="6854"/>
    <cellStyle name="Total 2 24" xfId="6855"/>
    <cellStyle name="Output 11 2" xfId="6856"/>
    <cellStyle name="Note 17 2" xfId="6857"/>
    <cellStyle name="Note 18 6" xfId="6858"/>
    <cellStyle name="Output 13 5" xfId="6859"/>
    <cellStyle name="Output 4 2 2 3 3" xfId="6860"/>
    <cellStyle name="Input 2 24" xfId="6861"/>
    <cellStyle name="Total 4 2 6" xfId="6862"/>
    <cellStyle name="Input 6 3 2" xfId="6863"/>
    <cellStyle name="Output 19 3" xfId="6864"/>
    <cellStyle name="Output 12 5" xfId="6865"/>
    <cellStyle name="Note 19 5" xfId="6866"/>
    <cellStyle name="Total 17 5" xfId="6867"/>
    <cellStyle name="Note 14 8" xfId="6868"/>
    <cellStyle name="Total 17 6" xfId="6869"/>
    <cellStyle name="Total 15 4" xfId="6870"/>
    <cellStyle name="Total 2 21" xfId="6871"/>
    <cellStyle name="Output 13 2" xfId="6872"/>
    <cellStyle name="Calculation 2 22" xfId="6873"/>
    <cellStyle name="Input 12 2" xfId="6874"/>
    <cellStyle name="Calculation 19 3" xfId="6875"/>
    <cellStyle name="Total 12 2" xfId="6876"/>
    <cellStyle name="Note 22 4" xfId="6877"/>
    <cellStyle name="Note 13 3 4" xfId="6878"/>
    <cellStyle name="Note 25 6" xfId="6879"/>
    <cellStyle name="Total 11 4" xfId="6880"/>
    <cellStyle name="Output 4 2 2 2 2 2 3" xfId="6881"/>
    <cellStyle name="Input 17 4" xfId="6882"/>
    <cellStyle name="Input 6 3 3" xfId="6883"/>
    <cellStyle name="Output 3 3 5" xfId="6884"/>
    <cellStyle name="Output 4 3 6" xfId="6885"/>
    <cellStyle name="Input 15 6" xfId="6886"/>
    <cellStyle name="Input 14 4" xfId="6887"/>
    <cellStyle name="Calculation 12 6" xfId="6888"/>
    <cellStyle name="Output 3 3 4" xfId="6889"/>
    <cellStyle name="Output 12 6" xfId="6890"/>
    <cellStyle name="Calculation 11 2" xfId="6891"/>
    <cellStyle name="Output 4 2 2 2 2 2 4" xfId="6892"/>
    <cellStyle name="Output 4 2 2 2 2 2 5" xfId="6893"/>
    <cellStyle name="Output 3 3 3" xfId="6894"/>
    <cellStyle name="Input 14 5" xfId="6895"/>
    <cellStyle name="Calculation 15 2" xfId="6896"/>
    <cellStyle name="Total 11 3" xfId="6897"/>
    <cellStyle name="Note 2 15" xfId="6898"/>
    <cellStyle name="Output 17 6" xfId="6899"/>
    <cellStyle name="Total 16 5" xfId="6900"/>
    <cellStyle name="Note 18 4" xfId="6901"/>
    <cellStyle name="Input 4 2 2 2 2 2 4" xfId="6902"/>
    <cellStyle name="Total 3 3 2" xfId="6903"/>
    <cellStyle name="Note 14 7" xfId="6904"/>
    <cellStyle name="Output 6 3 3" xfId="6905"/>
    <cellStyle name="Output 3 3 2" xfId="6906"/>
    <cellStyle name="Output 11 4" xfId="6907"/>
    <cellStyle name="Calculation 18 2" xfId="6908"/>
    <cellStyle name="Calculation 12 3" xfId="6909"/>
    <cellStyle name="Input 4 3 3" xfId="6910"/>
    <cellStyle name="Input 4 2 2 2 2 2 2" xfId="6911"/>
    <cellStyle name="Total 12 5" xfId="6912"/>
    <cellStyle name="Output 4 2 6" xfId="6913"/>
    <cellStyle name="Note 14 2 4" xfId="6914"/>
    <cellStyle name="Input 4 2 2 3 3" xfId="6915"/>
    <cellStyle name="Total 16 4" xfId="6916"/>
    <cellStyle name="Input 4 2 2 3 6" xfId="6917"/>
    <cellStyle name="Calculation 3 3 2" xfId="6918"/>
    <cellStyle name="Calculation 6 3 5" xfId="6919"/>
    <cellStyle name="Total 12 4" xfId="6920"/>
    <cellStyle name="Calculation 19 4" xfId="6921"/>
    <cellStyle name="Input 4 3 6" xfId="6922"/>
    <cellStyle name="Total 19 6" xfId="6923"/>
    <cellStyle name="Output 11 5" xfId="6924"/>
    <cellStyle name="Output 14 2" xfId="6925"/>
    <cellStyle name="Calculation 13 5" xfId="6926"/>
    <cellStyle name="Input 4 2 2 2 3" xfId="6927"/>
    <cellStyle name="Input 2 21" xfId="6928"/>
    <cellStyle name="Total 13 6" xfId="6929"/>
    <cellStyle name="Note 16 4" xfId="6930"/>
    <cellStyle name="Calculation 3 3 6" xfId="6931"/>
    <cellStyle name="Calculation 3 3 3" xfId="6932"/>
    <cellStyle name="Input 13 5" xfId="6933"/>
    <cellStyle name="Output 6 3 6" xfId="6934"/>
    <cellStyle name="Input 18 4" xfId="6935"/>
    <cellStyle name="Total 2 20" xfId="6936"/>
    <cellStyle name="Input 4 2 2 2 4" xfId="6937"/>
    <cellStyle name="Calculation 4 2 5" xfId="6938"/>
    <cellStyle name="Note 18 2" xfId="6939"/>
    <cellStyle name="Calculation 6 3 3" xfId="6940"/>
    <cellStyle name="Input 13 3" xfId="6941"/>
    <cellStyle name="Calculation 15 6" xfId="6942"/>
    <cellStyle name="Output 4 2 2 3 4" xfId="6943"/>
    <cellStyle name="Note 13 3 5" xfId="6944"/>
    <cellStyle name="Note 14 2 5" xfId="6945"/>
    <cellStyle name="Calculation 14 3" xfId="6946"/>
    <cellStyle name="Total 11 6" xfId="6947"/>
    <cellStyle name="Note 25 3" xfId="6948"/>
    <cellStyle name="Note 20 3" xfId="6949"/>
    <cellStyle name="Calculation 4 2 2 2 2 2 2" xfId="6950"/>
    <cellStyle name="Note 21 5" xfId="6951"/>
    <cellStyle name="Output 13 4" xfId="6952"/>
    <cellStyle name="Note 21 6" xfId="6953"/>
    <cellStyle name="Input 15 4" xfId="6954"/>
    <cellStyle name="Input 4 2 2 2 2 2 3" xfId="6955"/>
    <cellStyle name="Note 24 4" xfId="6956"/>
    <cellStyle name="Output 17 3" xfId="6957"/>
    <cellStyle name="Input 4 2 4" xfId="6958"/>
    <cellStyle name="Input 4 3 2" xfId="6959"/>
    <cellStyle name="Note 24 3" xfId="6960"/>
    <cellStyle name="Calculation 19 5" xfId="6961"/>
    <cellStyle name="Output 18 3" xfId="6962"/>
    <cellStyle name="Note 21 3" xfId="6963"/>
    <cellStyle name="Calculation 4 2 2 2 2 2 3" xfId="6964"/>
    <cellStyle name="Total 13 4" xfId="6965"/>
    <cellStyle name="Total 16 6" xfId="6966"/>
    <cellStyle name="Output 18 6" xfId="6967"/>
    <cellStyle name="Output 14 3" xfId="6968"/>
    <cellStyle name="Calculation 18 3" xfId="6969"/>
    <cellStyle name="Calculation 6 3 2" xfId="6970"/>
    <cellStyle name="Output 2 20" xfId="6971"/>
    <cellStyle name="Note 19 6" xfId="6972"/>
    <cellStyle name="Note 21 4" xfId="6973"/>
    <cellStyle name="Note 22 3" xfId="6974"/>
    <cellStyle name="Calculation 4 2 2 2 4" xfId="6975"/>
    <cellStyle name="Total 18 2" xfId="6976"/>
    <cellStyle name="Note 24 2" xfId="6977"/>
    <cellStyle name="Input 16 3" xfId="6978"/>
    <cellStyle name="Total 4 3 5" xfId="6979"/>
    <cellStyle name="Total 18 3" xfId="6980"/>
    <cellStyle name="Calculation 15 3" xfId="6981"/>
    <cellStyle name="Input 19 5" xfId="6982"/>
    <cellStyle name="Input 11 3" xfId="6983"/>
    <cellStyle name="Total 3 3 6" xfId="6984"/>
    <cellStyle name="Note 20 5" xfId="6985"/>
    <cellStyle name="Total 2 22" xfId="6986"/>
    <cellStyle name="Calculation 4 2 2 2 3" xfId="6987"/>
    <cellStyle name="Total 4 2 2 2 4" xfId="6988"/>
    <cellStyle name="Note 14 2 2" xfId="6989"/>
    <cellStyle name="Total 4 2 2 2 2 2 5" xfId="6990"/>
    <cellStyle name="Calculation 4 2 2 3 3" xfId="6991"/>
    <cellStyle name="Output 4 2 2 3 6" xfId="6992"/>
    <cellStyle name="Input 17 6" xfId="6993"/>
    <cellStyle name="Output 14 4" xfId="6994"/>
    <cellStyle name="Input 16 6" xfId="6995"/>
    <cellStyle name="Calculation 2 21" xfId="6996"/>
    <cellStyle name="Total 14 2" xfId="6997"/>
    <cellStyle name="Output 17 4" xfId="6998"/>
    <cellStyle name="Calculation 13 4" xfId="6999"/>
    <cellStyle name="Output 4 2 2 2 7" xfId="7000"/>
    <cellStyle name="Input 4 2 2 2 6" xfId="7001"/>
    <cellStyle name="Total 19 5" xfId="7002"/>
    <cellStyle name="Note 13 3 6" xfId="7003"/>
    <cellStyle name="Total 6 3 2" xfId="7004"/>
    <cellStyle name="Total 4 3 2" xfId="7005"/>
    <cellStyle name="Total 4 2 2 2 2 2 2" xfId="7006"/>
    <cellStyle name="Calculation 4 2 2 2 2 2 5" xfId="7007"/>
    <cellStyle name="Note 16 5" xfId="7008"/>
    <cellStyle name="Input 18 3" xfId="7009"/>
    <cellStyle name="Output 4 2 2 2 5" xfId="7010"/>
    <cellStyle name="Input 13 6" xfId="7011"/>
    <cellStyle name="Calculation 17 3" xfId="7012"/>
    <cellStyle name="Total 19 3" xfId="7013"/>
    <cellStyle name="Total 15 5" xfId="7014"/>
    <cellStyle name="Note 2 14" xfId="7015"/>
    <cellStyle name="Input 2 23" xfId="7016"/>
    <cellStyle name="Note 14 5" xfId="7017"/>
    <cellStyle name="Note 2 13" xfId="7018"/>
    <cellStyle name="Total 17 2" xfId="7019"/>
    <cellStyle name="Note 19 4" xfId="7020"/>
    <cellStyle name="Output 19 5" xfId="7021"/>
    <cellStyle name="Calculation 14 4" xfId="7022"/>
    <cellStyle name="Calculation 4 2 2 2 7" xfId="7023"/>
    <cellStyle name="Output 14 5" xfId="7024"/>
    <cellStyle name="Output 18 2" xfId="7025"/>
    <cellStyle name="Input 11 5" xfId="7026"/>
    <cellStyle name="Calculation 4 2 2 2 5" xfId="7027"/>
    <cellStyle name="Total 17 4" xfId="7028"/>
    <cellStyle name="Total 4 2 4" xfId="7029"/>
    <cellStyle name="Note 2 17" xfId="7030"/>
    <cellStyle name="Note 24 5" xfId="7031"/>
    <cellStyle name="Output 18 4" xfId="7032"/>
    <cellStyle name="Input 11 4" xfId="7033"/>
    <cellStyle name="Input 4 2 2 2 5" xfId="7034"/>
    <cellStyle name="Note 13 3 3" xfId="7035"/>
    <cellStyle name="Calculation 11 6" xfId="7036"/>
    <cellStyle name="Total 13 3" xfId="7037"/>
    <cellStyle name="Total 4 2 2 2 2 2 3" xfId="7038"/>
    <cellStyle name="Total 3 3 3" xfId="7039"/>
    <cellStyle name="Note 13 3 2" xfId="7040"/>
    <cellStyle name="Input 19 2" xfId="7041"/>
    <cellStyle name="Output 6 3 4" xfId="7042"/>
    <cellStyle name="Total 15 3" xfId="7043"/>
    <cellStyle name="Output 16 3" xfId="7044"/>
    <cellStyle name="Note 17 6" xfId="7045"/>
    <cellStyle name="Total 17 3" xfId="7046"/>
    <cellStyle name="Input 18 5" xfId="7047"/>
    <cellStyle name="Output 15 6" xfId="7048"/>
    <cellStyle name="Output 6 3 5" xfId="7049"/>
    <cellStyle name="Total 15 2" xfId="7050"/>
    <cellStyle name="Total 13 2" xfId="7051"/>
    <cellStyle name="Output 4 2 7" xfId="7052"/>
    <cellStyle name="Note 22 2" xfId="7053"/>
    <cellStyle name="Input 12 4" xfId="7054"/>
    <cellStyle name="Output 16 2" xfId="7055"/>
    <cellStyle name="Calculation 2 24" xfId="7056"/>
    <cellStyle name="Note 14 6" xfId="7057"/>
    <cellStyle name="Calculation 16 6" xfId="7058"/>
    <cellStyle name="Note 16 3" xfId="7059"/>
    <cellStyle name="Input 11 6" xfId="7060"/>
    <cellStyle name="Input 12 5" xfId="7061"/>
    <cellStyle name="Calculation 17 5" xfId="7062"/>
    <cellStyle name="Total 4 2 2 2 2 2 6" xfId="7063"/>
    <cellStyle name="Note 23 4" xfId="7064"/>
    <cellStyle name="Input 6 3 6" xfId="7065"/>
    <cellStyle name="Note 19 3" xfId="7066"/>
    <cellStyle name="Input 15 3" xfId="7067"/>
    <cellStyle name="Calculation 6 3 4" xfId="7068"/>
    <cellStyle name="Output 4 3 5" xfId="7069"/>
    <cellStyle name="Note 14 2 3" xfId="7070"/>
    <cellStyle name="Output 4 2 5" xfId="7071"/>
    <cellStyle name="Total 6 3 3" xfId="7072"/>
    <cellStyle name="Input 17 2" xfId="7073"/>
    <cellStyle name="Note 2 16" xfId="7074"/>
    <cellStyle name="Input 17 5" xfId="7075"/>
    <cellStyle name="Calculation 4 3 4" xfId="7076"/>
    <cellStyle name="Note 23 3" xfId="7077"/>
    <cellStyle name="Output 2 21" xfId="7078"/>
    <cellStyle name="Calculation 12 4" xfId="7079"/>
    <cellStyle name="Output 11 3" xfId="7080"/>
    <cellStyle name="Total 14 3" xfId="7081"/>
    <cellStyle name="Input 19 3" xfId="7082"/>
    <cellStyle name="Total 4 2 2 2 7" xfId="7083"/>
    <cellStyle name="Note 25 4" xfId="7084"/>
    <cellStyle name="Note 17 4" xfId="7085"/>
    <cellStyle name="Calculation 2 20" xfId="7086"/>
    <cellStyle name="Note 24 6" xfId="7087"/>
    <cellStyle name="Output 4 2 2 2 6" xfId="7088"/>
    <cellStyle name="Total 6 3 4" xfId="7089"/>
    <cellStyle name="Output 2 22" xfId="7090"/>
    <cellStyle name="Calculation 3 3 5" xfId="7091"/>
    <cellStyle name="Total 6 3 6" xfId="7092"/>
    <cellStyle name="Total 6 3 5" xfId="7093"/>
    <cellStyle name="Output 2 23" xfId="7094"/>
    <cellStyle name="Total 4 3 6" xfId="7095"/>
    <cellStyle name="Output 4 2 8" xfId="7096"/>
    <cellStyle name="Input 3 3 6" xfId="7097"/>
    <cellStyle name="Calculation 14 6" xfId="7098"/>
    <cellStyle name="Note 14 9" xfId="709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abSelected="1" zoomScale="85" zoomScaleNormal="85" workbookViewId="0">
      <selection activeCell="P18" sqref="P1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46785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LINK!BP3</f>
        <v/>
      </c>
      <c r="F5" s="136">
        <f>LINK!B32</f>
        <v/>
      </c>
      <c r="G5" s="92">
        <f>LINK!AI32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LINK!EG3</f>
        <v/>
      </c>
      <c r="L5" s="68">
        <f>LINK!BP32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LINK!BP4</f>
        <v/>
      </c>
      <c r="F6" s="138">
        <f>LINK!B33</f>
        <v/>
      </c>
      <c r="G6" s="142">
        <f>LINK!AI33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LINK!EG4</f>
        <v/>
      </c>
      <c r="L6" s="131">
        <f>LINK!BP33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LINK!BP5</f>
        <v/>
      </c>
      <c r="F7" s="138">
        <f>LINK!B34</f>
        <v/>
      </c>
      <c r="G7" s="142">
        <f>LINK!AI34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LINK!EG5</f>
        <v/>
      </c>
      <c r="L7" s="131">
        <f>LINK!BP34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LINK!BP6</f>
        <v/>
      </c>
      <c r="F8" s="138">
        <f>LINK!B35</f>
        <v/>
      </c>
      <c r="G8" s="142">
        <f>LINK!AI35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LINK!EG6</f>
        <v/>
      </c>
      <c r="L8" s="131">
        <f>LINK!BP35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LINK!AI70</f>
        <v/>
      </c>
      <c r="Q8" s="618">
        <f>LINK!BP27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/>
      <c r="C9" s="1724" t="n"/>
      <c r="D9" s="1725" t="n"/>
      <c r="E9" s="145">
        <f>LINK!BP7</f>
        <v/>
      </c>
      <c r="F9" s="138">
        <f>LINK!B36</f>
        <v/>
      </c>
      <c r="G9" s="142">
        <f>LINK!AI36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LINK!EG7</f>
        <v/>
      </c>
      <c r="L9" s="131">
        <f>LINK!BP36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LINK!BP8</f>
        <v/>
      </c>
      <c r="F10" s="138">
        <f>LINK!B37</f>
        <v/>
      </c>
      <c r="G10" s="142">
        <f>LINK!AI37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LINK!EG8</f>
        <v/>
      </c>
      <c r="L10" s="131">
        <f>LINK!BP37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LINK!CZ20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LINK!BP9</f>
        <v/>
      </c>
      <c r="F11" s="138">
        <f>LINK!B38</f>
        <v/>
      </c>
      <c r="G11" s="142">
        <f>LINK!AI38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LINK!EG9</f>
        <v/>
      </c>
      <c r="L11" s="131">
        <f>LINK!BP38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LINK!CZ21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LINK!BP10</f>
        <v/>
      </c>
      <c r="F12" s="138">
        <f>LINK!B39</f>
        <v/>
      </c>
      <c r="G12" s="142">
        <f>LINK!AI39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LINK!EG10</f>
        <v/>
      </c>
      <c r="L12" s="131">
        <f>LINK!BP39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LINK!CZ22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LINK!BP11</f>
        <v/>
      </c>
      <c r="F13" s="138">
        <f>LINK!B40</f>
        <v/>
      </c>
      <c r="G13" s="142">
        <f>LINK!AI40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LINK!EG11</f>
        <v/>
      </c>
      <c r="L13" s="131">
        <f>LINK!BP40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LINK!CZ23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LINK!BP12</f>
        <v/>
      </c>
      <c r="F14" s="138">
        <f>LINK!B41</f>
        <v/>
      </c>
      <c r="G14" s="142">
        <f>LINK!AI41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LINK!EG12</f>
        <v/>
      </c>
      <c r="L14" s="131">
        <f>LINK!BP41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LINK!CZ24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LINK!BP13</f>
        <v/>
      </c>
      <c r="F15" s="138">
        <f>LINK!B42</f>
        <v/>
      </c>
      <c r="G15" s="142">
        <f>LINK!AI42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LINK!EG13</f>
        <v/>
      </c>
      <c r="L15" s="131">
        <f>LINK!BP42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LINK!CZ25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LINK!BP14</f>
        <v/>
      </c>
      <c r="F16" s="138">
        <f>LINK!B43</f>
        <v/>
      </c>
      <c r="G16" s="142">
        <f>LINK!AI43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LINK!EG14</f>
        <v/>
      </c>
      <c r="L16" s="131">
        <f>LINK!BP43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LINK!CZ27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LINK!BP15</f>
        <v/>
      </c>
      <c r="F17" s="149">
        <f>LINK!B44</f>
        <v/>
      </c>
      <c r="G17" s="144">
        <f>LINK!AI44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LINK!EG15</f>
        <v/>
      </c>
      <c r="L17" s="147">
        <f>LINK!BP44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LINK!BP20</f>
        <v/>
      </c>
      <c r="F21" s="67">
        <f>LINK!B49</f>
        <v/>
      </c>
      <c r="G21" s="92">
        <f>LINK!AI49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LINK!EG20</f>
        <v/>
      </c>
      <c r="L21" s="74">
        <f>LINK!BP49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LINK!BP21</f>
        <v/>
      </c>
      <c r="F22" s="73">
        <f>LINK!B50</f>
        <v/>
      </c>
      <c r="G22" s="142">
        <f>LINK!AI50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LINK!EG21</f>
        <v/>
      </c>
      <c r="L22" s="131">
        <f>LINK!BP50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LINK!BP22</f>
        <v/>
      </c>
      <c r="F23" s="73">
        <f>LINK!B51</f>
        <v/>
      </c>
      <c r="G23" s="142">
        <f>LINK!AI51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LINK!EG22</f>
        <v/>
      </c>
      <c r="L23" s="131">
        <f>LINK!BP51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LINK!BP23</f>
        <v/>
      </c>
      <c r="F24" s="73">
        <f>LINK!B52</f>
        <v/>
      </c>
      <c r="G24" s="142">
        <f>LINK!AI52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LINK!EG23</f>
        <v/>
      </c>
      <c r="L24" s="131">
        <f>LINK!BP52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LINK!BP24</f>
        <v/>
      </c>
      <c r="F25" s="73">
        <f>LINK!B53</f>
        <v/>
      </c>
      <c r="G25" s="142">
        <f>LINK!AI53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LINK!EG24</f>
        <v/>
      </c>
      <c r="L25" s="131">
        <f>LINK!BP53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LINK!BP25</f>
        <v/>
      </c>
      <c r="F26" s="73">
        <f>LINK!B54</f>
        <v/>
      </c>
      <c r="G26" s="142">
        <f>LINK!AI54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LINK!EG25</f>
        <v/>
      </c>
      <c r="L26" s="131">
        <f>LINK!BP54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LINK!BP26</f>
        <v/>
      </c>
      <c r="F27" s="151">
        <f>LINK!B55</f>
        <v/>
      </c>
      <c r="G27" s="144">
        <f>LINK!AI55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LINK!EG26</f>
        <v/>
      </c>
      <c r="L27" s="147">
        <f>LINK!BP55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N14:O14"/>
    <mergeCell ref="A29:F29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106"/>
  <sheetViews>
    <sheetView topLeftCell="DG1" zoomScale="78" zoomScaleNormal="70" workbookViewId="0">
      <selection activeCell="DZ10" sqref="DZ10"/>
    </sheetView>
  </sheetViews>
  <sheetFormatPr baseColWidth="8" defaultRowHeight="15"/>
  <cols>
    <col width="19.85546875" customWidth="1" min="1" max="1"/>
    <col width="13.140625" customWidth="1" min="3" max="3"/>
  </cols>
  <sheetData>
    <row r="1" ht="59.25" customHeight="1" thickBot="1">
      <c r="A1" s="368" t="inlineStr">
        <is>
          <t>CURRENT YEAR COMMODITYWISE DAILY LOADING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1" t="n"/>
      <c r="N1" s="2141" t="n"/>
      <c r="O1" s="2141" t="n"/>
      <c r="P1" s="2141" t="n"/>
      <c r="Q1" s="2141" t="n"/>
      <c r="R1" s="2141" t="n"/>
      <c r="S1" s="2141" t="n"/>
      <c r="T1" s="2141" t="n"/>
      <c r="U1" s="2141" t="n"/>
      <c r="V1" s="2141" t="n"/>
      <c r="W1" s="2141" t="n"/>
      <c r="X1" s="2141" t="n"/>
      <c r="Y1" s="2141" t="n"/>
      <c r="Z1" s="2141" t="n"/>
      <c r="AA1" s="2141" t="n"/>
      <c r="AB1" s="2141" t="n"/>
      <c r="AC1" s="2141" t="n"/>
      <c r="AD1" s="2141" t="n"/>
      <c r="AE1" s="2141" t="n"/>
      <c r="AF1" s="2147" t="n"/>
      <c r="AH1" s="2181" t="inlineStr">
        <is>
          <t>CURRENT YEAR COMMODITYWISE  MONTHLY LOADING</t>
        </is>
      </c>
      <c r="AI1" s="2141" t="n"/>
      <c r="AJ1" s="2141" t="n"/>
      <c r="AK1" s="2141" t="n"/>
      <c r="AL1" s="2141" t="n"/>
      <c r="AM1" s="2141" t="n"/>
      <c r="AN1" s="2141" t="n"/>
      <c r="AO1" s="2141" t="n"/>
      <c r="AP1" s="2141" t="n"/>
      <c r="AQ1" s="2141" t="n"/>
      <c r="AR1" s="2141" t="n"/>
      <c r="AS1" s="2141" t="n"/>
      <c r="AT1" s="2141" t="n"/>
      <c r="AU1" s="2141" t="n"/>
      <c r="AV1" s="2141" t="n"/>
      <c r="AW1" s="2141" t="n"/>
      <c r="AX1" s="2141" t="n"/>
      <c r="AY1" s="2141" t="n"/>
      <c r="AZ1" s="2141" t="n"/>
      <c r="BA1" s="2141" t="n"/>
      <c r="BB1" s="2141" t="n"/>
      <c r="BC1" s="2141" t="n"/>
      <c r="BD1" s="2141" t="n"/>
      <c r="BE1" s="2141" t="n"/>
      <c r="BF1" s="2141" t="n"/>
      <c r="BG1" s="2141" t="n"/>
      <c r="BH1" s="2141" t="n"/>
      <c r="BI1" s="2141" t="n"/>
      <c r="BJ1" s="2141" t="n"/>
      <c r="BK1" s="2141" t="n"/>
      <c r="BL1" s="2141" t="n"/>
      <c r="BM1" s="2147" t="n"/>
      <c r="BO1" s="2182" t="inlineStr">
        <is>
          <t>CURRENT YEAR COMMODITYWISE  MONTHLY  AVG LOADING</t>
        </is>
      </c>
      <c r="BP1" s="2141" t="n"/>
      <c r="BQ1" s="2141" t="n"/>
      <c r="BR1" s="2141" t="n"/>
      <c r="BS1" s="2141" t="n"/>
      <c r="BT1" s="2141" t="n"/>
      <c r="BU1" s="2141" t="n"/>
      <c r="BV1" s="2141" t="n"/>
      <c r="BW1" s="2141" t="n"/>
      <c r="BX1" s="2141" t="n"/>
      <c r="BY1" s="2141" t="n"/>
      <c r="BZ1" s="2141" t="n"/>
      <c r="CA1" s="2141" t="n"/>
      <c r="CB1" s="2141" t="n"/>
      <c r="CC1" s="2141" t="n"/>
      <c r="CD1" s="2141" t="n"/>
      <c r="CE1" s="2141" t="n"/>
      <c r="CF1" s="2141" t="n"/>
      <c r="CG1" s="2141" t="n"/>
      <c r="CH1" s="2141" t="n"/>
      <c r="CI1" s="2141" t="n"/>
      <c r="CJ1" s="2141" t="n"/>
      <c r="CK1" s="2141" t="n"/>
      <c r="CL1" s="2141" t="n"/>
      <c r="CM1" s="2141" t="n"/>
      <c r="CN1" s="2141" t="n"/>
      <c r="CO1" s="2141" t="n"/>
      <c r="CP1" s="2141" t="n"/>
      <c r="CQ1" s="2141" t="n"/>
      <c r="CR1" s="2141" t="n"/>
      <c r="CS1" s="2141" t="n"/>
      <c r="CT1" s="2147" t="n"/>
      <c r="CU1" s="2135" t="n"/>
      <c r="CV1" s="2135" t="n"/>
      <c r="CW1" s="2183" t="inlineStr">
        <is>
          <t>Yearly Progressive LDG up to last day of the prvious month</t>
        </is>
      </c>
      <c r="CX1" s="24" t="inlineStr">
        <is>
          <t>Cummulative no. of days up to last day of the previous month</t>
        </is>
      </c>
      <c r="CY1" s="2184" t="inlineStr">
        <is>
          <t>CURRENT YEAR COMMODITYWISE  YEARLY CUMMULATIVE LOADING</t>
        </is>
      </c>
      <c r="CZ1" s="2141" t="n"/>
      <c r="DA1" s="2141" t="n"/>
      <c r="DB1" s="2141" t="n"/>
      <c r="DC1" s="2141" t="n"/>
      <c r="DD1" s="2141" t="n"/>
      <c r="DE1" s="2141" t="n"/>
      <c r="DF1" s="2141" t="n"/>
      <c r="DG1" s="2141" t="n"/>
      <c r="DH1" s="2141" t="n"/>
      <c r="DI1" s="2141" t="n"/>
      <c r="DJ1" s="2141" t="n"/>
      <c r="DK1" s="2141" t="n"/>
      <c r="DL1" s="2141" t="n"/>
      <c r="DM1" s="2141" t="n"/>
      <c r="DN1" s="2141" t="n"/>
      <c r="DO1" s="2141" t="n"/>
      <c r="DP1" s="2141" t="n"/>
      <c r="DQ1" s="2141" t="n"/>
      <c r="DR1" s="2141" t="n"/>
      <c r="DS1" s="2141" t="n"/>
      <c r="DT1" s="2141" t="n"/>
      <c r="DU1" s="2141" t="n"/>
      <c r="DV1" s="2141" t="n"/>
      <c r="DW1" s="2141" t="n"/>
      <c r="DX1" s="2141" t="n"/>
      <c r="DY1" s="2141" t="n"/>
      <c r="DZ1" s="2141" t="n"/>
      <c r="EA1" s="2141" t="n"/>
      <c r="EB1" s="2141" t="n"/>
      <c r="EC1" s="2141" t="n"/>
      <c r="ED1" s="2147" t="n"/>
      <c r="EF1" s="2184" t="inlineStr">
        <is>
          <t>CURRENT YEAR COMMODITYWISE  YEARLY AVG LOADING</t>
        </is>
      </c>
      <c r="EG1" s="2141" t="n"/>
      <c r="EH1" s="2141" t="n"/>
      <c r="EI1" s="2141" t="n"/>
      <c r="EJ1" s="2141" t="n"/>
      <c r="EK1" s="2141" t="n"/>
      <c r="EL1" s="2141" t="n"/>
      <c r="EM1" s="2141" t="n"/>
      <c r="EN1" s="2141" t="n"/>
      <c r="EO1" s="2141" t="n"/>
      <c r="EP1" s="2141" t="n"/>
      <c r="EQ1" s="2141" t="n"/>
      <c r="ER1" s="2141" t="n"/>
      <c r="ES1" s="2141" t="n"/>
      <c r="ET1" s="2141" t="n"/>
      <c r="EU1" s="2141" t="n"/>
      <c r="EV1" s="2141" t="n"/>
      <c r="EW1" s="2141" t="n"/>
      <c r="EX1" s="2141" t="n"/>
      <c r="EY1" s="2141" t="n"/>
      <c r="EZ1" s="2141" t="n"/>
      <c r="FA1" s="2141" t="n"/>
      <c r="FB1" s="2141" t="n"/>
      <c r="FC1" s="2141" t="n"/>
      <c r="FD1" s="2141" t="n"/>
      <c r="FE1" s="2141" t="n"/>
      <c r="FF1" s="2141" t="n"/>
      <c r="FG1" s="2141" t="n"/>
      <c r="FH1" s="2141" t="n"/>
      <c r="FI1" s="2141" t="n"/>
      <c r="FJ1" s="2141" t="n"/>
      <c r="FK1" s="2147" t="n"/>
    </row>
    <row r="2" ht="15.75" customHeight="1" thickBot="1">
      <c r="A2" s="2" t="inlineStr">
        <is>
          <t>COMM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5" t="n">
        <v>31</v>
      </c>
      <c r="AH2" s="2" t="inlineStr">
        <is>
          <t>COMM</t>
        </is>
      </c>
      <c r="AI2" s="3" t="n">
        <v>1</v>
      </c>
      <c r="AJ2" s="3" t="n">
        <v>2</v>
      </c>
      <c r="AK2" s="3" t="n">
        <v>3</v>
      </c>
      <c r="AL2" s="3" t="n">
        <v>4</v>
      </c>
      <c r="AM2" s="3" t="n">
        <v>5</v>
      </c>
      <c r="AN2" s="3" t="n">
        <v>6</v>
      </c>
      <c r="AO2" s="3" t="n">
        <v>7</v>
      </c>
      <c r="AP2" s="3" t="n">
        <v>8</v>
      </c>
      <c r="AQ2" s="3" t="n">
        <v>9</v>
      </c>
      <c r="AR2" s="3" t="n">
        <v>10</v>
      </c>
      <c r="AS2" s="3" t="n">
        <v>11</v>
      </c>
      <c r="AT2" s="3" t="n">
        <v>12</v>
      </c>
      <c r="AU2" s="3" t="n">
        <v>13</v>
      </c>
      <c r="AV2" s="3" t="n">
        <v>14</v>
      </c>
      <c r="AW2" s="3" t="n">
        <v>15</v>
      </c>
      <c r="AX2" s="3" t="n">
        <v>16</v>
      </c>
      <c r="AY2" s="3" t="n">
        <v>17</v>
      </c>
      <c r="AZ2" s="3" t="n">
        <v>18</v>
      </c>
      <c r="BA2" s="3" t="n">
        <v>19</v>
      </c>
      <c r="BB2" s="3" t="n">
        <v>20</v>
      </c>
      <c r="BC2" s="3" t="n">
        <v>21</v>
      </c>
      <c r="BD2" s="3" t="n">
        <v>22</v>
      </c>
      <c r="BE2" s="3" t="n">
        <v>23</v>
      </c>
      <c r="BF2" s="3" t="n">
        <v>24</v>
      </c>
      <c r="BG2" s="3" t="n">
        <v>25</v>
      </c>
      <c r="BH2" s="3" t="n">
        <v>26</v>
      </c>
      <c r="BI2" s="3" t="n">
        <v>27</v>
      </c>
      <c r="BJ2" s="3" t="n">
        <v>28</v>
      </c>
      <c r="BK2" s="3" t="n">
        <v>29</v>
      </c>
      <c r="BL2" s="3" t="n">
        <v>30</v>
      </c>
      <c r="BM2" s="5" t="n">
        <v>31</v>
      </c>
      <c r="BO2" s="2" t="inlineStr">
        <is>
          <t>COMM</t>
        </is>
      </c>
      <c r="BP2" s="3" t="n">
        <v>1</v>
      </c>
      <c r="BQ2" s="3" t="n">
        <v>2</v>
      </c>
      <c r="BR2" s="3" t="n">
        <v>3</v>
      </c>
      <c r="BS2" s="3" t="n">
        <v>4</v>
      </c>
      <c r="BT2" s="3" t="n">
        <v>5</v>
      </c>
      <c r="BU2" s="3" t="n">
        <v>6</v>
      </c>
      <c r="BV2" s="3" t="n">
        <v>7</v>
      </c>
      <c r="BW2" s="3" t="n">
        <v>8</v>
      </c>
      <c r="BX2" s="3" t="n">
        <v>9</v>
      </c>
      <c r="BY2" s="3" t="n">
        <v>10</v>
      </c>
      <c r="BZ2" s="3" t="n">
        <v>11</v>
      </c>
      <c r="CA2" s="3" t="n">
        <v>12</v>
      </c>
      <c r="CB2" s="3" t="n">
        <v>13</v>
      </c>
      <c r="CC2" s="3" t="n">
        <v>14</v>
      </c>
      <c r="CD2" s="3" t="n">
        <v>15</v>
      </c>
      <c r="CE2" s="3" t="n">
        <v>16</v>
      </c>
      <c r="CF2" s="3" t="n">
        <v>17</v>
      </c>
      <c r="CG2" s="3" t="n">
        <v>18</v>
      </c>
      <c r="CH2" s="3" t="n">
        <v>19</v>
      </c>
      <c r="CI2" s="3" t="n">
        <v>20</v>
      </c>
      <c r="CJ2" s="3" t="n">
        <v>21</v>
      </c>
      <c r="CK2" s="3" t="n">
        <v>22</v>
      </c>
      <c r="CL2" s="3" t="n">
        <v>23</v>
      </c>
      <c r="CM2" s="3" t="n">
        <v>24</v>
      </c>
      <c r="CN2" s="3" t="n">
        <v>25</v>
      </c>
      <c r="CO2" s="3" t="n">
        <v>26</v>
      </c>
      <c r="CP2" s="3" t="n">
        <v>27</v>
      </c>
      <c r="CQ2" s="3" t="n">
        <v>28</v>
      </c>
      <c r="CR2" s="3" t="n">
        <v>29</v>
      </c>
      <c r="CS2" s="3" t="n">
        <v>30</v>
      </c>
      <c r="CT2" s="5" t="n">
        <v>31</v>
      </c>
      <c r="CU2" s="2135" t="n"/>
      <c r="CV2" s="14" t="inlineStr">
        <is>
          <t>COMM</t>
        </is>
      </c>
      <c r="CW2" s="2165" t="n"/>
      <c r="CX2" s="582" t="n">
        <v>306</v>
      </c>
      <c r="CY2" s="2" t="inlineStr">
        <is>
          <t>COMM</t>
        </is>
      </c>
      <c r="CZ2" s="3" t="n">
        <v>1</v>
      </c>
      <c r="DA2" s="3" t="n">
        <v>2</v>
      </c>
      <c r="DB2" s="3" t="n">
        <v>3</v>
      </c>
      <c r="DC2" s="3" t="n">
        <v>4</v>
      </c>
      <c r="DD2" s="3" t="n">
        <v>5</v>
      </c>
      <c r="DE2" s="3" t="n">
        <v>6</v>
      </c>
      <c r="DF2" s="3" t="n">
        <v>7</v>
      </c>
      <c r="DG2" s="3" t="n">
        <v>8</v>
      </c>
      <c r="DH2" s="3" t="n">
        <v>9</v>
      </c>
      <c r="DI2" s="3" t="n">
        <v>10</v>
      </c>
      <c r="DJ2" s="3" t="n">
        <v>11</v>
      </c>
      <c r="DK2" s="3" t="n">
        <v>12</v>
      </c>
      <c r="DL2" s="3" t="n">
        <v>13</v>
      </c>
      <c r="DM2" s="3" t="n">
        <v>14</v>
      </c>
      <c r="DN2" s="3" t="n">
        <v>15</v>
      </c>
      <c r="DO2" s="3" t="n">
        <v>16</v>
      </c>
      <c r="DP2" s="3" t="n">
        <v>17</v>
      </c>
      <c r="DQ2" s="3" t="n">
        <v>18</v>
      </c>
      <c r="DR2" s="3" t="n">
        <v>19</v>
      </c>
      <c r="DS2" s="3" t="n">
        <v>20</v>
      </c>
      <c r="DT2" s="3" t="n">
        <v>21</v>
      </c>
      <c r="DU2" s="3" t="n">
        <v>22</v>
      </c>
      <c r="DV2" s="3" t="n">
        <v>23</v>
      </c>
      <c r="DW2" s="3" t="n">
        <v>24</v>
      </c>
      <c r="DX2" s="3" t="n">
        <v>25</v>
      </c>
      <c r="DY2" s="3" t="n">
        <v>26</v>
      </c>
      <c r="DZ2" s="3" t="n">
        <v>27</v>
      </c>
      <c r="EA2" s="3" t="n">
        <v>28</v>
      </c>
      <c r="EB2" s="3" t="n">
        <v>29</v>
      </c>
      <c r="EC2" s="3" t="n">
        <v>30</v>
      </c>
      <c r="ED2" s="5" t="n">
        <v>31</v>
      </c>
      <c r="EF2" s="2" t="inlineStr">
        <is>
          <t>COMM</t>
        </is>
      </c>
      <c r="EG2" s="3" t="n">
        <v>307</v>
      </c>
      <c r="EH2" s="3" t="n">
        <v>308</v>
      </c>
      <c r="EI2" s="3" t="n">
        <v>309</v>
      </c>
      <c r="EJ2" s="3" t="n">
        <v>310</v>
      </c>
      <c r="EK2" s="3" t="n">
        <v>311</v>
      </c>
      <c r="EL2" s="3" t="n">
        <v>312</v>
      </c>
      <c r="EM2" s="3" t="n">
        <v>313</v>
      </c>
      <c r="EN2" s="3" t="n">
        <v>314</v>
      </c>
      <c r="EO2" s="3" t="n">
        <v>315</v>
      </c>
      <c r="EP2" s="3" t="n">
        <v>316</v>
      </c>
      <c r="EQ2" s="3" t="n">
        <v>317</v>
      </c>
      <c r="ER2" s="3" t="n">
        <v>318</v>
      </c>
      <c r="ES2" s="3" t="n">
        <v>319</v>
      </c>
      <c r="ET2" s="3" t="n">
        <v>320</v>
      </c>
      <c r="EU2" s="3" t="n">
        <v>321</v>
      </c>
      <c r="EV2" s="3" t="n">
        <v>322</v>
      </c>
      <c r="EW2" s="3" t="n">
        <v>323</v>
      </c>
      <c r="EX2" s="3" t="n">
        <v>324</v>
      </c>
      <c r="EY2" s="3" t="n">
        <v>325</v>
      </c>
      <c r="EZ2" s="3" t="n">
        <v>326</v>
      </c>
      <c r="FA2" s="3" t="n">
        <v>327</v>
      </c>
      <c r="FB2" s="3" t="n">
        <v>328</v>
      </c>
      <c r="FC2" s="3" t="n">
        <v>329</v>
      </c>
      <c r="FD2" s="3" t="n">
        <v>330</v>
      </c>
      <c r="FE2" s="3" t="n">
        <v>331</v>
      </c>
      <c r="FF2" s="3" t="n">
        <v>332</v>
      </c>
      <c r="FG2" s="3" t="n">
        <v>333</v>
      </c>
      <c r="FH2" s="3" t="n">
        <v>334</v>
      </c>
      <c r="FI2" s="3" t="n">
        <v>335</v>
      </c>
      <c r="FJ2" s="3" t="n">
        <v>336</v>
      </c>
      <c r="FK2" s="3" t="n">
        <v>337</v>
      </c>
    </row>
    <row r="3" ht="15.75" customHeight="1">
      <c r="A3" s="13" t="inlineStr">
        <is>
          <t>CEM</t>
        </is>
      </c>
      <c r="B3" s="18">
        <f>'1'!$D5</f>
        <v/>
      </c>
      <c r="C3" s="18">
        <f>'2'!$D5</f>
        <v/>
      </c>
      <c r="D3" s="18">
        <f>'3'!$D5</f>
        <v/>
      </c>
      <c r="E3" s="18">
        <f>'4'!$D5</f>
        <v/>
      </c>
      <c r="F3" s="18">
        <f>'5'!$D5</f>
        <v/>
      </c>
      <c r="G3" s="18">
        <f>'6'!$D5</f>
        <v/>
      </c>
      <c r="H3" s="18">
        <f>'7'!$D5</f>
        <v/>
      </c>
      <c r="I3" s="18">
        <f>'8'!$D5</f>
        <v/>
      </c>
      <c r="J3" s="18">
        <f>'9'!$D5</f>
        <v/>
      </c>
      <c r="K3" s="18">
        <f>'10'!$D5</f>
        <v/>
      </c>
      <c r="L3" s="18">
        <f>'11'!$D5</f>
        <v/>
      </c>
      <c r="M3" s="18">
        <f>'12'!$D5</f>
        <v/>
      </c>
      <c r="N3" s="18">
        <f>'13'!$D5</f>
        <v/>
      </c>
      <c r="O3" s="18">
        <f>'14'!$D5</f>
        <v/>
      </c>
      <c r="P3" s="18">
        <f>'15'!$D5</f>
        <v/>
      </c>
      <c r="Q3" s="18">
        <f>'16'!$D5</f>
        <v/>
      </c>
      <c r="R3" s="18">
        <f>'17'!$D5</f>
        <v/>
      </c>
      <c r="S3" s="18">
        <f>'18'!$D5</f>
        <v/>
      </c>
      <c r="T3" s="18">
        <f>'19'!$D5</f>
        <v/>
      </c>
      <c r="U3" s="18">
        <f>'20'!$D5</f>
        <v/>
      </c>
      <c r="V3" s="18">
        <f>'21'!$D5</f>
        <v/>
      </c>
      <c r="W3" s="18">
        <f>'22'!$D5</f>
        <v/>
      </c>
      <c r="X3" s="18">
        <f>'23'!$D5</f>
        <v/>
      </c>
      <c r="Y3" s="18">
        <f>'24'!$D5</f>
        <v/>
      </c>
      <c r="Z3" s="18">
        <f>'25'!$D5</f>
        <v/>
      </c>
      <c r="AA3" s="18">
        <f>'26'!$D5</f>
        <v/>
      </c>
      <c r="AB3" s="18">
        <f>'27'!$D5</f>
        <v/>
      </c>
      <c r="AC3" s="18">
        <f>'28'!$D5</f>
        <v/>
      </c>
      <c r="AD3" s="18">
        <f>'29'!$D5</f>
        <v/>
      </c>
      <c r="AE3" s="18" t="n"/>
      <c r="AF3" s="22" t="n"/>
      <c r="AH3" s="13" t="inlineStr">
        <is>
          <t>CEM</t>
        </is>
      </c>
      <c r="AI3" s="18">
        <f>B3</f>
        <v/>
      </c>
      <c r="AJ3" s="18">
        <f>AI3+C3</f>
        <v/>
      </c>
      <c r="AK3" s="18">
        <f>AJ3+D3</f>
        <v/>
      </c>
      <c r="AL3" s="18">
        <f>AK3+E3</f>
        <v/>
      </c>
      <c r="AM3" s="18">
        <f>AL3+F3</f>
        <v/>
      </c>
      <c r="AN3" s="18">
        <f>AM3+G3</f>
        <v/>
      </c>
      <c r="AO3" s="18">
        <f>AN3+H3</f>
        <v/>
      </c>
      <c r="AP3" s="18">
        <f>AO3+I3</f>
        <v/>
      </c>
      <c r="AQ3" s="18">
        <f>AP3+J3</f>
        <v/>
      </c>
      <c r="AR3" s="18">
        <f>AQ3+K3</f>
        <v/>
      </c>
      <c r="AS3" s="18">
        <f>AR3+L3</f>
        <v/>
      </c>
      <c r="AT3" s="18">
        <f>AS3+M3</f>
        <v/>
      </c>
      <c r="AU3" s="18">
        <f>AT3+N3</f>
        <v/>
      </c>
      <c r="AV3" s="18">
        <f>AU3+O3</f>
        <v/>
      </c>
      <c r="AW3" s="18">
        <f>AV3+P3</f>
        <v/>
      </c>
      <c r="AX3" s="18">
        <f>AW3+Q3</f>
        <v/>
      </c>
      <c r="AY3" s="18">
        <f>AX3+R3</f>
        <v/>
      </c>
      <c r="AZ3" s="18">
        <f>AY3+S3</f>
        <v/>
      </c>
      <c r="BA3" s="18">
        <f>AZ3+T3</f>
        <v/>
      </c>
      <c r="BB3" s="18">
        <f>BA3+U3</f>
        <v/>
      </c>
      <c r="BC3" s="18">
        <f>BB3+V3</f>
        <v/>
      </c>
      <c r="BD3" s="18">
        <f>BC3+W3</f>
        <v/>
      </c>
      <c r="BE3" s="18">
        <f>BD3+X3</f>
        <v/>
      </c>
      <c r="BF3" s="18">
        <f>BE3+Y3</f>
        <v/>
      </c>
      <c r="BG3" s="18">
        <f>BF3+Z3</f>
        <v/>
      </c>
      <c r="BH3" s="18">
        <f>BG3+AA3</f>
        <v/>
      </c>
      <c r="BI3" s="18">
        <f>BH3+AB3</f>
        <v/>
      </c>
      <c r="BJ3" s="18">
        <f>BI3+AC3</f>
        <v/>
      </c>
      <c r="BK3" s="18">
        <f>BJ3+AD3</f>
        <v/>
      </c>
      <c r="BL3" s="18" t="n"/>
      <c r="BM3" s="18" t="n"/>
      <c r="BO3" s="13" t="inlineStr">
        <is>
          <t>CEM</t>
        </is>
      </c>
      <c r="BP3" s="51">
        <f>AI3/AI$2</f>
        <v/>
      </c>
      <c r="BQ3" s="51">
        <f>AJ3/AJ$2</f>
        <v/>
      </c>
      <c r="BR3" s="51">
        <f>AK3/AK$2</f>
        <v/>
      </c>
      <c r="BS3" s="51">
        <f>AL3/AL$2</f>
        <v/>
      </c>
      <c r="BT3" s="51">
        <f>AM3/AM$2</f>
        <v/>
      </c>
      <c r="BU3" s="51">
        <f>AN3/AN$2</f>
        <v/>
      </c>
      <c r="BV3" s="51">
        <f>AO3/AO$2</f>
        <v/>
      </c>
      <c r="BW3" s="51">
        <f>AP3/AP$2</f>
        <v/>
      </c>
      <c r="BX3" s="51">
        <f>AQ3/AQ$2</f>
        <v/>
      </c>
      <c r="BY3" s="51">
        <f>AR3/AR$2</f>
        <v/>
      </c>
      <c r="BZ3" s="51">
        <f>AS3/AS$2</f>
        <v/>
      </c>
      <c r="CA3" s="51">
        <f>AT3/AT$2</f>
        <v/>
      </c>
      <c r="CB3" s="51">
        <f>AU3/AU$2</f>
        <v/>
      </c>
      <c r="CC3" s="51">
        <f>AV3/AV$2</f>
        <v/>
      </c>
      <c r="CD3" s="51">
        <f>AW3/AW$2</f>
        <v/>
      </c>
      <c r="CE3" s="51">
        <f>AX3/AX$2</f>
        <v/>
      </c>
      <c r="CF3" s="51">
        <f>AY3/AY$2</f>
        <v/>
      </c>
      <c r="CG3" s="51">
        <f>AZ3/AZ$2</f>
        <v/>
      </c>
      <c r="CH3" s="51">
        <f>BA3/BA$2</f>
        <v/>
      </c>
      <c r="CI3" s="51">
        <f>BB3/BB$2</f>
        <v/>
      </c>
      <c r="CJ3" s="51">
        <f>BC3/BC$2</f>
        <v/>
      </c>
      <c r="CK3" s="51">
        <f>BD3/BD$2</f>
        <v/>
      </c>
      <c r="CL3" s="51">
        <f>BE3/BE$2</f>
        <v/>
      </c>
      <c r="CM3" s="51">
        <f>BF3/BF$2</f>
        <v/>
      </c>
      <c r="CN3" s="51">
        <f>BG3/BG$2</f>
        <v/>
      </c>
      <c r="CO3" s="51">
        <f>BH3/BH$2</f>
        <v/>
      </c>
      <c r="CP3" s="51">
        <f>BI3/BI$2</f>
        <v/>
      </c>
      <c r="CQ3" s="51">
        <f>BJ3/BJ$2</f>
        <v/>
      </c>
      <c r="CR3" s="51">
        <f>BK3/BK$2</f>
        <v/>
      </c>
      <c r="CS3" s="51" t="n"/>
      <c r="CT3" s="51" t="n"/>
      <c r="CU3" s="23" t="n"/>
      <c r="CV3" s="13" t="inlineStr">
        <is>
          <t>CEM</t>
        </is>
      </c>
      <c r="CW3" s="23" t="n">
        <v>0</v>
      </c>
      <c r="CY3" s="13" t="inlineStr">
        <is>
          <t>CEM</t>
        </is>
      </c>
      <c r="CZ3" s="18">
        <f>CW3+B3</f>
        <v/>
      </c>
      <c r="DA3" s="18">
        <f>CZ3+C3</f>
        <v/>
      </c>
      <c r="DB3" s="18">
        <f>DA3+D3</f>
        <v/>
      </c>
      <c r="DC3" s="18">
        <f>DB3+E3</f>
        <v/>
      </c>
      <c r="DD3" s="18">
        <f>DC3+F3</f>
        <v/>
      </c>
      <c r="DE3" s="18">
        <f>DD3+G3</f>
        <v/>
      </c>
      <c r="DF3" s="18">
        <f>DE3+H3</f>
        <v/>
      </c>
      <c r="DG3" s="18">
        <f>DF3+I3</f>
        <v/>
      </c>
      <c r="DH3" s="18">
        <f>DG3+J3</f>
        <v/>
      </c>
      <c r="DI3" s="18">
        <f>DH3+K3</f>
        <v/>
      </c>
      <c r="DJ3" s="18">
        <f>DI3+L3</f>
        <v/>
      </c>
      <c r="DK3" s="18">
        <f>DJ3+M3</f>
        <v/>
      </c>
      <c r="DL3" s="18">
        <f>DK3+N3</f>
        <v/>
      </c>
      <c r="DM3" s="18">
        <f>DL3+O3</f>
        <v/>
      </c>
      <c r="DN3" s="18">
        <f>DM3+P3</f>
        <v/>
      </c>
      <c r="DO3" s="18">
        <f>DN3+Q3</f>
        <v/>
      </c>
      <c r="DP3" s="18">
        <f>DO3+R3</f>
        <v/>
      </c>
      <c r="DQ3" s="18">
        <f>DP3+S3</f>
        <v/>
      </c>
      <c r="DR3" s="18">
        <f>DQ3+T3</f>
        <v/>
      </c>
      <c r="DS3" s="18">
        <f>DR3+U3</f>
        <v/>
      </c>
      <c r="DT3" s="18">
        <f>DS3+V3</f>
        <v/>
      </c>
      <c r="DU3" s="18">
        <f>DT3+W3</f>
        <v/>
      </c>
      <c r="DV3" s="18">
        <f>DU3+X3</f>
        <v/>
      </c>
      <c r="DW3" s="18">
        <f>DV3+Y3</f>
        <v/>
      </c>
      <c r="DX3" s="18">
        <f>DW3+Z3</f>
        <v/>
      </c>
      <c r="DY3" s="18">
        <f>DX3+AA3</f>
        <v/>
      </c>
      <c r="DZ3" s="18">
        <f>DY3+AB3</f>
        <v/>
      </c>
      <c r="EA3" s="18">
        <f>DZ3+AC3</f>
        <v/>
      </c>
      <c r="EB3" s="18">
        <f>EA3+AD3</f>
        <v/>
      </c>
      <c r="EC3" s="18" t="n"/>
      <c r="ED3" s="18" t="n"/>
      <c r="EF3" s="13" t="inlineStr">
        <is>
          <t>CEM</t>
        </is>
      </c>
      <c r="EG3" s="51">
        <f>CZ3/EG$2</f>
        <v/>
      </c>
      <c r="EH3" s="51">
        <f>DA3/EH$2</f>
        <v/>
      </c>
      <c r="EI3" s="51">
        <f>DB3/EI$2</f>
        <v/>
      </c>
      <c r="EJ3" s="51">
        <f>DC3/EJ$2</f>
        <v/>
      </c>
      <c r="EK3" s="51">
        <f>DD3/EK$2</f>
        <v/>
      </c>
      <c r="EL3" s="51">
        <f>DE3/EL$2</f>
        <v/>
      </c>
      <c r="EM3" s="51">
        <f>DF3/EM$2</f>
        <v/>
      </c>
      <c r="EN3" s="51">
        <f>DG3/EN$2</f>
        <v/>
      </c>
      <c r="EO3" s="51">
        <f>DH3/EO$2</f>
        <v/>
      </c>
      <c r="EP3" s="51">
        <f>DI3/EP$2</f>
        <v/>
      </c>
      <c r="EQ3" s="51">
        <f>DJ3/EQ$2</f>
        <v/>
      </c>
      <c r="ER3" s="51">
        <f>DK3/ER$2</f>
        <v/>
      </c>
      <c r="ES3" s="51">
        <f>DL3/ES$2</f>
        <v/>
      </c>
      <c r="ET3" s="51">
        <f>DM3/ET$2</f>
        <v/>
      </c>
      <c r="EU3" s="51">
        <f>DN3/EU$2</f>
        <v/>
      </c>
      <c r="EV3" s="51">
        <f>DO3/EV$2</f>
        <v/>
      </c>
      <c r="EW3" s="51">
        <f>DP3/EW$2</f>
        <v/>
      </c>
      <c r="EX3" s="51">
        <f>DQ3/EX$2</f>
        <v/>
      </c>
      <c r="EY3" s="51">
        <f>DR3/EY$2</f>
        <v/>
      </c>
      <c r="EZ3" s="51">
        <f>DS3/EZ$2</f>
        <v/>
      </c>
      <c r="FA3" s="51">
        <f>DT3/FA$2</f>
        <v/>
      </c>
      <c r="FB3" s="51">
        <f>DU3/FB$2</f>
        <v/>
      </c>
      <c r="FC3" s="51">
        <f>DV3/FC$2</f>
        <v/>
      </c>
      <c r="FD3" s="51">
        <f>DW3/FD$2</f>
        <v/>
      </c>
      <c r="FE3" s="51">
        <f>DX3/FE$2</f>
        <v/>
      </c>
      <c r="FF3" s="51">
        <f>DY3/FF$2</f>
        <v/>
      </c>
      <c r="FG3" s="51">
        <f>DZ3/FG$2</f>
        <v/>
      </c>
      <c r="FH3" s="51">
        <f>EA3/FH$2</f>
        <v/>
      </c>
      <c r="FI3" s="51">
        <f>EB3/FI$2</f>
        <v/>
      </c>
      <c r="FJ3" s="51" t="n"/>
      <c r="FK3" s="51" t="n"/>
      <c r="FL3" s="18" t="n"/>
      <c r="FM3" s="18" t="n"/>
      <c r="FN3" s="18" t="n"/>
      <c r="FO3" s="18" t="n"/>
      <c r="FP3" s="18" t="n"/>
      <c r="FQ3" s="18" t="n"/>
    </row>
    <row r="4" ht="15.75" customHeight="1">
      <c r="A4" s="13" t="inlineStr">
        <is>
          <t>COAL</t>
        </is>
      </c>
      <c r="B4" s="18">
        <f>'1'!$D6</f>
        <v/>
      </c>
      <c r="C4" s="18">
        <f>'2'!$D6</f>
        <v/>
      </c>
      <c r="D4" s="18">
        <f>'3'!$D6</f>
        <v/>
      </c>
      <c r="E4" s="18">
        <f>'4'!$D6</f>
        <v/>
      </c>
      <c r="F4" s="18">
        <f>'5'!$D6</f>
        <v/>
      </c>
      <c r="G4" s="18">
        <f>'6'!$D6</f>
        <v/>
      </c>
      <c r="H4" s="18">
        <f>'7'!$D6</f>
        <v/>
      </c>
      <c r="I4" s="18">
        <f>'8'!$D6</f>
        <v/>
      </c>
      <c r="J4" s="18">
        <f>'9'!$D6</f>
        <v/>
      </c>
      <c r="K4" s="18">
        <f>'10'!$D6</f>
        <v/>
      </c>
      <c r="L4" s="18">
        <f>'11'!$D6</f>
        <v/>
      </c>
      <c r="M4" s="18">
        <f>'12'!$D6</f>
        <v/>
      </c>
      <c r="N4" s="18">
        <f>'13'!$D6</f>
        <v/>
      </c>
      <c r="O4" s="18">
        <f>'14'!$D6</f>
        <v/>
      </c>
      <c r="P4" s="18">
        <f>'15'!$D6</f>
        <v/>
      </c>
      <c r="Q4" s="18">
        <f>'16'!$D6</f>
        <v/>
      </c>
      <c r="R4" s="18">
        <f>'17'!$D6</f>
        <v/>
      </c>
      <c r="S4" s="18">
        <f>'18'!$D6</f>
        <v/>
      </c>
      <c r="T4" s="18">
        <f>'19'!$D6</f>
        <v/>
      </c>
      <c r="U4" s="18">
        <f>'20'!$D6</f>
        <v/>
      </c>
      <c r="V4" s="18">
        <f>'21'!$D6</f>
        <v/>
      </c>
      <c r="W4" s="18">
        <f>'22'!$D6</f>
        <v/>
      </c>
      <c r="X4" s="18">
        <f>'23'!$D6</f>
        <v/>
      </c>
      <c r="Y4" s="18">
        <f>'24'!$D6</f>
        <v/>
      </c>
      <c r="Z4" s="18">
        <f>'25'!$D6</f>
        <v/>
      </c>
      <c r="AA4" s="18">
        <f>'26'!$D6</f>
        <v/>
      </c>
      <c r="AB4" s="18">
        <f>'27'!$D6</f>
        <v/>
      </c>
      <c r="AC4" s="18">
        <f>'28'!$D6</f>
        <v/>
      </c>
      <c r="AD4" s="18">
        <f>'29'!$D6</f>
        <v/>
      </c>
      <c r="AE4" s="18" t="n"/>
      <c r="AF4" s="22" t="n"/>
      <c r="AH4" s="13" t="inlineStr">
        <is>
          <t>COAL</t>
        </is>
      </c>
      <c r="AI4" s="18">
        <f>B4</f>
        <v/>
      </c>
      <c r="AJ4" s="18">
        <f>AI4+C4</f>
        <v/>
      </c>
      <c r="AK4" s="18">
        <f>AJ4+D4</f>
        <v/>
      </c>
      <c r="AL4" s="18">
        <f>AK4+E4</f>
        <v/>
      </c>
      <c r="AM4" s="18">
        <f>AL4+F4</f>
        <v/>
      </c>
      <c r="AN4" s="18">
        <f>AM4+G4</f>
        <v/>
      </c>
      <c r="AO4" s="18">
        <f>AN4+H4</f>
        <v/>
      </c>
      <c r="AP4" s="18">
        <f>AO4+I4</f>
        <v/>
      </c>
      <c r="AQ4" s="18">
        <f>AP4+J4</f>
        <v/>
      </c>
      <c r="AR4" s="18">
        <f>AQ4+K4</f>
        <v/>
      </c>
      <c r="AS4" s="18">
        <f>AR4+L4</f>
        <v/>
      </c>
      <c r="AT4" s="18">
        <f>AS4+M4</f>
        <v/>
      </c>
      <c r="AU4" s="18">
        <f>AT4+N4</f>
        <v/>
      </c>
      <c r="AV4" s="18">
        <f>AU4+O4</f>
        <v/>
      </c>
      <c r="AW4" s="18">
        <f>AV4+P4</f>
        <v/>
      </c>
      <c r="AX4" s="18">
        <f>AW4+Q4</f>
        <v/>
      </c>
      <c r="AY4" s="18">
        <f>AX4+R4</f>
        <v/>
      </c>
      <c r="AZ4" s="18">
        <f>AY4+S4</f>
        <v/>
      </c>
      <c r="BA4" s="18">
        <f>AZ4+T4</f>
        <v/>
      </c>
      <c r="BB4" s="18">
        <f>BA4+U4</f>
        <v/>
      </c>
      <c r="BC4" s="18">
        <f>BB4+V4</f>
        <v/>
      </c>
      <c r="BD4" s="18">
        <f>BC4+W4</f>
        <v/>
      </c>
      <c r="BE4" s="18">
        <f>BD4+X4</f>
        <v/>
      </c>
      <c r="BF4" s="18">
        <f>BE4+Y4</f>
        <v/>
      </c>
      <c r="BG4" s="18">
        <f>BF4+Z4</f>
        <v/>
      </c>
      <c r="BH4" s="18">
        <f>BG4+AA4</f>
        <v/>
      </c>
      <c r="BI4" s="18">
        <f>BH4+AB4</f>
        <v/>
      </c>
      <c r="BJ4" s="18">
        <f>BI4+AC4</f>
        <v/>
      </c>
      <c r="BK4" s="18">
        <f>BJ4+AD4</f>
        <v/>
      </c>
      <c r="BL4" s="18" t="n"/>
      <c r="BM4" s="18" t="n"/>
      <c r="BO4" s="13" t="inlineStr">
        <is>
          <t>COAL</t>
        </is>
      </c>
      <c r="BP4" s="51">
        <f>AI4/AI$2</f>
        <v/>
      </c>
      <c r="BQ4" s="51">
        <f>AJ4/AJ$2</f>
        <v/>
      </c>
      <c r="BR4" s="51">
        <f>AK4/AK$2</f>
        <v/>
      </c>
      <c r="BS4" s="51">
        <f>AL4/AL$2</f>
        <v/>
      </c>
      <c r="BT4" s="51">
        <f>AM4/AM$2</f>
        <v/>
      </c>
      <c r="BU4" s="51">
        <f>AN4/AN$2</f>
        <v/>
      </c>
      <c r="BV4" s="51">
        <f>AO4/AO$2</f>
        <v/>
      </c>
      <c r="BW4" s="51">
        <f>AP4/AP$2</f>
        <v/>
      </c>
      <c r="BX4" s="51">
        <f>AQ4/AQ$2</f>
        <v/>
      </c>
      <c r="BY4" s="51">
        <f>AR4/AR$2</f>
        <v/>
      </c>
      <c r="BZ4" s="51">
        <f>AS4/AS$2</f>
        <v/>
      </c>
      <c r="CA4" s="51">
        <f>AT4/AT$2</f>
        <v/>
      </c>
      <c r="CB4" s="51">
        <f>AU4/AU$2</f>
        <v/>
      </c>
      <c r="CC4" s="51">
        <f>AV4/AV$2</f>
        <v/>
      </c>
      <c r="CD4" s="51">
        <f>AW4/AW$2</f>
        <v/>
      </c>
      <c r="CE4" s="51">
        <f>AX4/AX$2</f>
        <v/>
      </c>
      <c r="CF4" s="51">
        <f>AY4/AY$2</f>
        <v/>
      </c>
      <c r="CG4" s="51">
        <f>AZ4/AZ$2</f>
        <v/>
      </c>
      <c r="CH4" s="51">
        <f>BA4/BA$2</f>
        <v/>
      </c>
      <c r="CI4" s="51">
        <f>BB4/BB$2</f>
        <v/>
      </c>
      <c r="CJ4" s="51">
        <f>BC4/BC$2</f>
        <v/>
      </c>
      <c r="CK4" s="51">
        <f>BD4/BD$2</f>
        <v/>
      </c>
      <c r="CL4" s="51">
        <f>BE4/BE$2</f>
        <v/>
      </c>
      <c r="CM4" s="51">
        <f>BF4/BF$2</f>
        <v/>
      </c>
      <c r="CN4" s="51">
        <f>BG4/BG$2</f>
        <v/>
      </c>
      <c r="CO4" s="51">
        <f>BH4/BH$2</f>
        <v/>
      </c>
      <c r="CP4" s="51">
        <f>BI4/BI$2</f>
        <v/>
      </c>
      <c r="CQ4" s="51">
        <f>BJ4/BJ$2</f>
        <v/>
      </c>
      <c r="CR4" s="51">
        <f>BK4/BK$2</f>
        <v/>
      </c>
      <c r="CS4" s="51" t="n"/>
      <c r="CT4" s="51" t="n"/>
      <c r="CU4" s="23" t="n"/>
      <c r="CV4" s="13" t="inlineStr">
        <is>
          <t>COAL</t>
        </is>
      </c>
      <c r="CW4" s="23" t="n">
        <v>0</v>
      </c>
      <c r="CY4" s="13" t="inlineStr">
        <is>
          <t>COAL</t>
        </is>
      </c>
      <c r="CZ4" s="18">
        <f>CW4+B4</f>
        <v/>
      </c>
      <c r="DA4" s="18">
        <f>CZ4+C4</f>
        <v/>
      </c>
      <c r="DB4" s="18">
        <f>DA4+D4</f>
        <v/>
      </c>
      <c r="DC4" s="18">
        <f>DB4+E4</f>
        <v/>
      </c>
      <c r="DD4" s="18">
        <f>DC4+F4</f>
        <v/>
      </c>
      <c r="DE4" s="18">
        <f>DD4+G4</f>
        <v/>
      </c>
      <c r="DF4" s="18">
        <f>DE4+H4</f>
        <v/>
      </c>
      <c r="DG4" s="18">
        <f>DF4+I4</f>
        <v/>
      </c>
      <c r="DH4" s="18">
        <f>DG4+J4</f>
        <v/>
      </c>
      <c r="DI4" s="18">
        <f>DH4+K4</f>
        <v/>
      </c>
      <c r="DJ4" s="18">
        <f>DI4+L4</f>
        <v/>
      </c>
      <c r="DK4" s="18">
        <f>DJ4+M4</f>
        <v/>
      </c>
      <c r="DL4" s="18">
        <f>DK4+N4</f>
        <v/>
      </c>
      <c r="DM4" s="18">
        <f>DL4+O4</f>
        <v/>
      </c>
      <c r="DN4" s="18">
        <f>DM4+P4</f>
        <v/>
      </c>
      <c r="DO4" s="18">
        <f>DN4+Q4</f>
        <v/>
      </c>
      <c r="DP4" s="18">
        <f>DO4+R4</f>
        <v/>
      </c>
      <c r="DQ4" s="18">
        <f>DP4+S4</f>
        <v/>
      </c>
      <c r="DR4" s="18">
        <f>DQ4+T4</f>
        <v/>
      </c>
      <c r="DS4" s="18">
        <f>DR4+U4</f>
        <v/>
      </c>
      <c r="DT4" s="18">
        <f>DS4+V4</f>
        <v/>
      </c>
      <c r="DU4" s="18">
        <f>DT4+W4</f>
        <v/>
      </c>
      <c r="DV4" s="18">
        <f>DU4+X4</f>
        <v/>
      </c>
      <c r="DW4" s="18">
        <f>DV4+Y4</f>
        <v/>
      </c>
      <c r="DX4" s="18">
        <f>DW4+Z4</f>
        <v/>
      </c>
      <c r="DY4" s="18">
        <f>DX4+AA4</f>
        <v/>
      </c>
      <c r="DZ4" s="18">
        <f>DY4+AB4</f>
        <v/>
      </c>
      <c r="EA4" s="18">
        <f>DZ4+AC4</f>
        <v/>
      </c>
      <c r="EB4" s="18">
        <f>EA4+AD4</f>
        <v/>
      </c>
      <c r="EC4" s="18" t="n"/>
      <c r="ED4" s="18" t="n"/>
      <c r="EF4" s="13" t="inlineStr">
        <is>
          <t>COAL</t>
        </is>
      </c>
      <c r="EG4" s="51">
        <f>CZ4/EG$2</f>
        <v/>
      </c>
      <c r="EH4" s="51">
        <f>DA4/EH$2</f>
        <v/>
      </c>
      <c r="EI4" s="51">
        <f>DB4/EI$2</f>
        <v/>
      </c>
      <c r="EJ4" s="51">
        <f>DC4/EJ$2</f>
        <v/>
      </c>
      <c r="EK4" s="51">
        <f>DD4/EK$2</f>
        <v/>
      </c>
      <c r="EL4" s="51">
        <f>DE4/EL$2</f>
        <v/>
      </c>
      <c r="EM4" s="51">
        <f>DF4/EM$2</f>
        <v/>
      </c>
      <c r="EN4" s="51">
        <f>DG4/EN$2</f>
        <v/>
      </c>
      <c r="EO4" s="51">
        <f>DH4/EO$2</f>
        <v/>
      </c>
      <c r="EP4" s="51">
        <f>DI4/EP$2</f>
        <v/>
      </c>
      <c r="EQ4" s="51">
        <f>DJ4/EQ$2</f>
        <v/>
      </c>
      <c r="ER4" s="51">
        <f>DK4/ER$2</f>
        <v/>
      </c>
      <c r="ES4" s="51">
        <f>DL4/ES$2</f>
        <v/>
      </c>
      <c r="ET4" s="51">
        <f>DM4/ET$2</f>
        <v/>
      </c>
      <c r="EU4" s="51">
        <f>DN4/EU$2</f>
        <v/>
      </c>
      <c r="EV4" s="51">
        <f>DO4/EV$2</f>
        <v/>
      </c>
      <c r="EW4" s="51">
        <f>DP4/EW$2</f>
        <v/>
      </c>
      <c r="EX4" s="51">
        <f>DQ4/EX$2</f>
        <v/>
      </c>
      <c r="EY4" s="51">
        <f>DR4/EY$2</f>
        <v/>
      </c>
      <c r="EZ4" s="51">
        <f>DS4/EZ$2</f>
        <v/>
      </c>
      <c r="FA4" s="51">
        <f>DT4/FA$2</f>
        <v/>
      </c>
      <c r="FB4" s="51">
        <f>DU4/FB$2</f>
        <v/>
      </c>
      <c r="FC4" s="51">
        <f>DV4/FC$2</f>
        <v/>
      </c>
      <c r="FD4" s="51">
        <f>DW4/FD$2</f>
        <v/>
      </c>
      <c r="FE4" s="51">
        <f>DX4/FE$2</f>
        <v/>
      </c>
      <c r="FF4" s="51">
        <f>DY4/FF$2</f>
        <v/>
      </c>
      <c r="FG4" s="51">
        <f>DZ4/FG$2</f>
        <v/>
      </c>
      <c r="FH4" s="51">
        <f>EA4/FH$2</f>
        <v/>
      </c>
      <c r="FI4" s="51">
        <f>EB4/FI$2</f>
        <v/>
      </c>
      <c r="FJ4" s="51" t="n"/>
      <c r="FK4" s="51" t="n"/>
    </row>
    <row r="5" ht="15.75" customHeight="1">
      <c r="A5" s="13" t="inlineStr">
        <is>
          <t>CONT</t>
        </is>
      </c>
      <c r="B5" s="18">
        <f>'1'!$D7</f>
        <v/>
      </c>
      <c r="C5" s="18">
        <f>'2'!$D7</f>
        <v/>
      </c>
      <c r="D5" s="18">
        <f>'3'!$D7</f>
        <v/>
      </c>
      <c r="E5" s="18">
        <f>'4'!$D7</f>
        <v/>
      </c>
      <c r="F5" s="18">
        <f>'5'!$D7</f>
        <v/>
      </c>
      <c r="G5" s="18">
        <f>'6'!$D7</f>
        <v/>
      </c>
      <c r="H5" s="18">
        <f>'7'!$D7</f>
        <v/>
      </c>
      <c r="I5" s="18">
        <f>'8'!$D7</f>
        <v/>
      </c>
      <c r="J5" s="18">
        <f>'9'!$D7</f>
        <v/>
      </c>
      <c r="K5" s="18">
        <f>'10'!$D7</f>
        <v/>
      </c>
      <c r="L5" s="18">
        <f>'11'!$D7</f>
        <v/>
      </c>
      <c r="M5" s="18">
        <f>'12'!$D7</f>
        <v/>
      </c>
      <c r="N5" s="18">
        <f>'13'!$D7</f>
        <v/>
      </c>
      <c r="O5" s="18">
        <f>'14'!$D7</f>
        <v/>
      </c>
      <c r="P5" s="18">
        <f>'15'!$D7</f>
        <v/>
      </c>
      <c r="Q5" s="18">
        <f>'16'!$D7</f>
        <v/>
      </c>
      <c r="R5" s="18">
        <f>'17'!$D7</f>
        <v/>
      </c>
      <c r="S5" s="18">
        <f>'18'!$D7</f>
        <v/>
      </c>
      <c r="T5" s="18">
        <f>'19'!$D7</f>
        <v/>
      </c>
      <c r="U5" s="18">
        <f>'20'!$D7</f>
        <v/>
      </c>
      <c r="V5" s="18">
        <f>'21'!$D7</f>
        <v/>
      </c>
      <c r="W5" s="18">
        <f>'22'!$D7</f>
        <v/>
      </c>
      <c r="X5" s="18">
        <f>'23'!$D7</f>
        <v/>
      </c>
      <c r="Y5" s="18">
        <f>'24'!$D7</f>
        <v/>
      </c>
      <c r="Z5" s="18">
        <f>'25'!$D7</f>
        <v/>
      </c>
      <c r="AA5" s="18">
        <f>'26'!$D7</f>
        <v/>
      </c>
      <c r="AB5" s="18">
        <f>'27'!$D7</f>
        <v/>
      </c>
      <c r="AC5" s="18">
        <f>'28'!$D7</f>
        <v/>
      </c>
      <c r="AD5" s="18">
        <f>'29'!$D7</f>
        <v/>
      </c>
      <c r="AE5" s="18" t="n"/>
      <c r="AF5" s="22" t="n"/>
      <c r="AH5" s="13" t="inlineStr">
        <is>
          <t>CONT</t>
        </is>
      </c>
      <c r="AI5" s="18">
        <f>B5</f>
        <v/>
      </c>
      <c r="AJ5" s="18">
        <f>AI5+C5</f>
        <v/>
      </c>
      <c r="AK5" s="18">
        <f>AJ5+D5</f>
        <v/>
      </c>
      <c r="AL5" s="18">
        <f>AK5+E5</f>
        <v/>
      </c>
      <c r="AM5" s="18">
        <f>AL5+F5</f>
        <v/>
      </c>
      <c r="AN5" s="18">
        <f>AM5+G5</f>
        <v/>
      </c>
      <c r="AO5" s="18">
        <f>AN5+H5</f>
        <v/>
      </c>
      <c r="AP5" s="18">
        <f>AO5+I5</f>
        <v/>
      </c>
      <c r="AQ5" s="18">
        <f>AP5+J5</f>
        <v/>
      </c>
      <c r="AR5" s="18">
        <f>AQ5+K5</f>
        <v/>
      </c>
      <c r="AS5" s="18">
        <f>AR5+L5</f>
        <v/>
      </c>
      <c r="AT5" s="18">
        <f>AS5+M5</f>
        <v/>
      </c>
      <c r="AU5" s="18">
        <f>AT5+N5</f>
        <v/>
      </c>
      <c r="AV5" s="18">
        <f>AU5+O5</f>
        <v/>
      </c>
      <c r="AW5" s="18">
        <f>AV5+P5</f>
        <v/>
      </c>
      <c r="AX5" s="18">
        <f>AW5+Q5</f>
        <v/>
      </c>
      <c r="AY5" s="18">
        <f>AX5+R5</f>
        <v/>
      </c>
      <c r="AZ5" s="18">
        <f>AY5+S5</f>
        <v/>
      </c>
      <c r="BA5" s="18">
        <f>AZ5+T5</f>
        <v/>
      </c>
      <c r="BB5" s="18">
        <f>BA5+U5</f>
        <v/>
      </c>
      <c r="BC5" s="18">
        <f>BB5+V5</f>
        <v/>
      </c>
      <c r="BD5" s="18">
        <f>BC5+W5</f>
        <v/>
      </c>
      <c r="BE5" s="18">
        <f>BD5+X5</f>
        <v/>
      </c>
      <c r="BF5" s="18">
        <f>BE5+Y5</f>
        <v/>
      </c>
      <c r="BG5" s="18">
        <f>BF5+Z5</f>
        <v/>
      </c>
      <c r="BH5" s="18">
        <f>BG5+AA5</f>
        <v/>
      </c>
      <c r="BI5" s="18">
        <f>BH5+AB5</f>
        <v/>
      </c>
      <c r="BJ5" s="18">
        <f>BI5+AC5</f>
        <v/>
      </c>
      <c r="BK5" s="18">
        <f>BJ5+AD5</f>
        <v/>
      </c>
      <c r="BL5" s="18" t="n"/>
      <c r="BM5" s="18" t="n"/>
      <c r="BO5" s="13" t="inlineStr">
        <is>
          <t>CONT</t>
        </is>
      </c>
      <c r="BP5" s="51">
        <f>AI5/AI$2</f>
        <v/>
      </c>
      <c r="BQ5" s="51">
        <f>AJ5/AJ$2</f>
        <v/>
      </c>
      <c r="BR5" s="51">
        <f>AK5/AK$2</f>
        <v/>
      </c>
      <c r="BS5" s="51">
        <f>AL5/AL$2</f>
        <v/>
      </c>
      <c r="BT5" s="51">
        <f>AM5/AM$2</f>
        <v/>
      </c>
      <c r="BU5" s="51">
        <f>AN5/AN$2</f>
        <v/>
      </c>
      <c r="BV5" s="51">
        <f>AO5/AO$2</f>
        <v/>
      </c>
      <c r="BW5" s="51">
        <f>AP5/AP$2</f>
        <v/>
      </c>
      <c r="BX5" s="51">
        <f>AQ5/AQ$2</f>
        <v/>
      </c>
      <c r="BY5" s="51">
        <f>AR5/AR$2</f>
        <v/>
      </c>
      <c r="BZ5" s="51">
        <f>AS5/AS$2</f>
        <v/>
      </c>
      <c r="CA5" s="51">
        <f>AT5/AT$2</f>
        <v/>
      </c>
      <c r="CB5" s="51">
        <f>AU5/AU$2</f>
        <v/>
      </c>
      <c r="CC5" s="51">
        <f>AV5/AV$2</f>
        <v/>
      </c>
      <c r="CD5" s="51">
        <f>AW5/AW$2</f>
        <v/>
      </c>
      <c r="CE5" s="51">
        <f>AX5/AX$2</f>
        <v/>
      </c>
      <c r="CF5" s="51">
        <f>AY5/AY$2</f>
        <v/>
      </c>
      <c r="CG5" s="51">
        <f>AZ5/AZ$2</f>
        <v/>
      </c>
      <c r="CH5" s="51">
        <f>BA5/BA$2</f>
        <v/>
      </c>
      <c r="CI5" s="51">
        <f>BB5/BB$2</f>
        <v/>
      </c>
      <c r="CJ5" s="51">
        <f>BC5/BC$2</f>
        <v/>
      </c>
      <c r="CK5" s="51">
        <f>BD5/BD$2</f>
        <v/>
      </c>
      <c r="CL5" s="51">
        <f>BE5/BE$2</f>
        <v/>
      </c>
      <c r="CM5" s="51">
        <f>BF5/BF$2</f>
        <v/>
      </c>
      <c r="CN5" s="51">
        <f>BG5/BG$2</f>
        <v/>
      </c>
      <c r="CO5" s="51">
        <f>BH5/BH$2</f>
        <v/>
      </c>
      <c r="CP5" s="51">
        <f>BI5/BI$2</f>
        <v/>
      </c>
      <c r="CQ5" s="51">
        <f>BJ5/BJ$2</f>
        <v/>
      </c>
      <c r="CR5" s="51">
        <f>BK5/BK$2</f>
        <v/>
      </c>
      <c r="CS5" s="51" t="n"/>
      <c r="CT5" s="51" t="n"/>
      <c r="CU5" s="23" t="n"/>
      <c r="CV5" s="13" t="inlineStr">
        <is>
          <t>CONT</t>
        </is>
      </c>
      <c r="CW5" s="23" t="n">
        <v>0</v>
      </c>
      <c r="CY5" s="13" t="inlineStr">
        <is>
          <t>CONT</t>
        </is>
      </c>
      <c r="CZ5" s="18">
        <f>CW5+B5</f>
        <v/>
      </c>
      <c r="DA5" s="18">
        <f>CZ5+C5</f>
        <v/>
      </c>
      <c r="DB5" s="18">
        <f>DA5+D5</f>
        <v/>
      </c>
      <c r="DC5" s="18">
        <f>DB5+E5</f>
        <v/>
      </c>
      <c r="DD5" s="18">
        <f>DC5+F5</f>
        <v/>
      </c>
      <c r="DE5" s="18">
        <f>DD5+G5</f>
        <v/>
      </c>
      <c r="DF5" s="18">
        <f>DE5+H5</f>
        <v/>
      </c>
      <c r="DG5" s="18">
        <f>DF5+I5</f>
        <v/>
      </c>
      <c r="DH5" s="18">
        <f>DG5+J5</f>
        <v/>
      </c>
      <c r="DI5" s="18">
        <f>DH5+K5</f>
        <v/>
      </c>
      <c r="DJ5" s="18">
        <f>DI5+L5</f>
        <v/>
      </c>
      <c r="DK5" s="18">
        <f>DJ5+M5</f>
        <v/>
      </c>
      <c r="DL5" s="18">
        <f>DK5+N5</f>
        <v/>
      </c>
      <c r="DM5" s="18">
        <f>DL5+O5</f>
        <v/>
      </c>
      <c r="DN5" s="18">
        <f>DM5+P5</f>
        <v/>
      </c>
      <c r="DO5" s="18">
        <f>DN5+Q5</f>
        <v/>
      </c>
      <c r="DP5" s="18">
        <f>DO5+R5</f>
        <v/>
      </c>
      <c r="DQ5" s="18">
        <f>DP5+S5</f>
        <v/>
      </c>
      <c r="DR5" s="18">
        <f>DQ5+T5</f>
        <v/>
      </c>
      <c r="DS5" s="18">
        <f>DR5+U5</f>
        <v/>
      </c>
      <c r="DT5" s="18">
        <f>DS5+V5</f>
        <v/>
      </c>
      <c r="DU5" s="18">
        <f>DT5+W5</f>
        <v/>
      </c>
      <c r="DV5" s="18">
        <f>DU5+X5</f>
        <v/>
      </c>
      <c r="DW5" s="18">
        <f>DV5+Y5</f>
        <v/>
      </c>
      <c r="DX5" s="18">
        <f>DW5+Z5</f>
        <v/>
      </c>
      <c r="DY5" s="18">
        <f>DX5+AA5</f>
        <v/>
      </c>
      <c r="DZ5" s="18">
        <f>DY5+AB5</f>
        <v/>
      </c>
      <c r="EA5" s="18">
        <f>DZ5+AC5</f>
        <v/>
      </c>
      <c r="EB5" s="18">
        <f>EA5+AD5</f>
        <v/>
      </c>
      <c r="EC5" s="18" t="n"/>
      <c r="ED5" s="18" t="n"/>
      <c r="EF5" s="13" t="inlineStr">
        <is>
          <t>CONT</t>
        </is>
      </c>
      <c r="EG5" s="51">
        <f>CZ5/EG$2</f>
        <v/>
      </c>
      <c r="EH5" s="51">
        <f>DA5/EH$2</f>
        <v/>
      </c>
      <c r="EI5" s="51">
        <f>DB5/EI$2</f>
        <v/>
      </c>
      <c r="EJ5" s="51">
        <f>DC5/EJ$2</f>
        <v/>
      </c>
      <c r="EK5" s="51">
        <f>DD5/EK$2</f>
        <v/>
      </c>
      <c r="EL5" s="51">
        <f>DE5/EL$2</f>
        <v/>
      </c>
      <c r="EM5" s="51">
        <f>DF5/EM$2</f>
        <v/>
      </c>
      <c r="EN5" s="51">
        <f>DG5/EN$2</f>
        <v/>
      </c>
      <c r="EO5" s="51">
        <f>DH5/EO$2</f>
        <v/>
      </c>
      <c r="EP5" s="51">
        <f>DI5/EP$2</f>
        <v/>
      </c>
      <c r="EQ5" s="51">
        <f>DJ5/EQ$2</f>
        <v/>
      </c>
      <c r="ER5" s="51">
        <f>DK5/ER$2</f>
        <v/>
      </c>
      <c r="ES5" s="51">
        <f>DL5/ES$2</f>
        <v/>
      </c>
      <c r="ET5" s="51">
        <f>DM5/ET$2</f>
        <v/>
      </c>
      <c r="EU5" s="51">
        <f>DN5/EU$2</f>
        <v/>
      </c>
      <c r="EV5" s="51">
        <f>DO5/EV$2</f>
        <v/>
      </c>
      <c r="EW5" s="51">
        <f>DP5/EW$2</f>
        <v/>
      </c>
      <c r="EX5" s="51">
        <f>DQ5/EX$2</f>
        <v/>
      </c>
      <c r="EY5" s="51">
        <f>DR5/EY$2</f>
        <v/>
      </c>
      <c r="EZ5" s="51">
        <f>DS5/EZ$2</f>
        <v/>
      </c>
      <c r="FA5" s="51">
        <f>DT5/FA$2</f>
        <v/>
      </c>
      <c r="FB5" s="51">
        <f>DU5/FB$2</f>
        <v/>
      </c>
      <c r="FC5" s="51">
        <f>DV5/FC$2</f>
        <v/>
      </c>
      <c r="FD5" s="51">
        <f>DW5/FD$2</f>
        <v/>
      </c>
      <c r="FE5" s="51">
        <f>DX5/FE$2</f>
        <v/>
      </c>
      <c r="FF5" s="51">
        <f>DY5/FF$2</f>
        <v/>
      </c>
      <c r="FG5" s="51">
        <f>DZ5/FG$2</f>
        <v/>
      </c>
      <c r="FH5" s="51">
        <f>EA5/FH$2</f>
        <v/>
      </c>
      <c r="FI5" s="51">
        <f>EB5/FI$2</f>
        <v/>
      </c>
      <c r="FJ5" s="51" t="n"/>
      <c r="FK5" s="51" t="n"/>
    </row>
    <row r="6" ht="15.75" customHeight="1">
      <c r="A6" s="13" t="inlineStr">
        <is>
          <t>FERT</t>
        </is>
      </c>
      <c r="B6" s="18">
        <f>'1'!$D8</f>
        <v/>
      </c>
      <c r="C6" s="18">
        <f>'2'!$D8</f>
        <v/>
      </c>
      <c r="D6" s="18">
        <f>'3'!$D8</f>
        <v/>
      </c>
      <c r="E6" s="18">
        <f>'4'!$D8</f>
        <v/>
      </c>
      <c r="F6" s="18">
        <f>'5'!$D8</f>
        <v/>
      </c>
      <c r="G6" s="18">
        <f>'6'!$D8</f>
        <v/>
      </c>
      <c r="H6" s="18">
        <f>'7'!$D8</f>
        <v/>
      </c>
      <c r="I6" s="18">
        <f>'8'!$D8</f>
        <v/>
      </c>
      <c r="J6" s="18">
        <f>'9'!$D8</f>
        <v/>
      </c>
      <c r="K6" s="18">
        <f>'10'!$D8</f>
        <v/>
      </c>
      <c r="L6" s="18">
        <f>'11'!$D8</f>
        <v/>
      </c>
      <c r="M6" s="18">
        <f>'12'!$D8</f>
        <v/>
      </c>
      <c r="N6" s="18">
        <f>'13'!$D8</f>
        <v/>
      </c>
      <c r="O6" s="18">
        <f>'14'!$D8</f>
        <v/>
      </c>
      <c r="P6" s="18">
        <f>'15'!$D8</f>
        <v/>
      </c>
      <c r="Q6" s="18">
        <f>'16'!$D8</f>
        <v/>
      </c>
      <c r="R6" s="18">
        <f>'17'!$D8</f>
        <v/>
      </c>
      <c r="S6" s="18">
        <f>'18'!$D8</f>
        <v/>
      </c>
      <c r="T6" s="18">
        <f>'19'!$D8</f>
        <v/>
      </c>
      <c r="U6" s="18">
        <f>'20'!$D8</f>
        <v/>
      </c>
      <c r="V6" s="18">
        <f>'21'!$D8</f>
        <v/>
      </c>
      <c r="W6" s="18">
        <f>'22'!$D8</f>
        <v/>
      </c>
      <c r="X6" s="18">
        <f>'23'!$D8</f>
        <v/>
      </c>
      <c r="Y6" s="18">
        <f>'24'!$D8</f>
        <v/>
      </c>
      <c r="Z6" s="18">
        <f>'25'!$D8</f>
        <v/>
      </c>
      <c r="AA6" s="18">
        <f>'26'!$D8</f>
        <v/>
      </c>
      <c r="AB6" s="18">
        <f>'27'!$D8</f>
        <v/>
      </c>
      <c r="AC6" s="18">
        <f>'28'!$D8</f>
        <v/>
      </c>
      <c r="AD6" s="18">
        <f>'29'!$D8</f>
        <v/>
      </c>
      <c r="AE6" s="18" t="n"/>
      <c r="AF6" s="22" t="n"/>
      <c r="AH6" s="13" t="inlineStr">
        <is>
          <t>FERT</t>
        </is>
      </c>
      <c r="AI6" s="18">
        <f>B6</f>
        <v/>
      </c>
      <c r="AJ6" s="18">
        <f>AI6+C6</f>
        <v/>
      </c>
      <c r="AK6" s="18">
        <f>AJ6+D6</f>
        <v/>
      </c>
      <c r="AL6" s="18">
        <f>AK6+E6</f>
        <v/>
      </c>
      <c r="AM6" s="18">
        <f>AL6+F6</f>
        <v/>
      </c>
      <c r="AN6" s="18">
        <f>AM6+G6</f>
        <v/>
      </c>
      <c r="AO6" s="18">
        <f>AN6+H6</f>
        <v/>
      </c>
      <c r="AP6" s="18">
        <f>AO6+I6</f>
        <v/>
      </c>
      <c r="AQ6" s="18">
        <f>AP6+J6</f>
        <v/>
      </c>
      <c r="AR6" s="18">
        <f>AQ6+K6</f>
        <v/>
      </c>
      <c r="AS6" s="18">
        <f>AR6+L6</f>
        <v/>
      </c>
      <c r="AT6" s="18">
        <f>AS6+M6</f>
        <v/>
      </c>
      <c r="AU6" s="18">
        <f>AT6+N6</f>
        <v/>
      </c>
      <c r="AV6" s="18">
        <f>AU6+O6</f>
        <v/>
      </c>
      <c r="AW6" s="18">
        <f>AV6+P6</f>
        <v/>
      </c>
      <c r="AX6" s="18">
        <f>AW6+Q6</f>
        <v/>
      </c>
      <c r="AY6" s="18">
        <f>AX6+R6</f>
        <v/>
      </c>
      <c r="AZ6" s="18">
        <f>AY6+S6</f>
        <v/>
      </c>
      <c r="BA6" s="18">
        <f>AZ6+T6</f>
        <v/>
      </c>
      <c r="BB6" s="18">
        <f>BA6+U6</f>
        <v/>
      </c>
      <c r="BC6" s="18">
        <f>BB6+V6</f>
        <v/>
      </c>
      <c r="BD6" s="18">
        <f>BC6+W6</f>
        <v/>
      </c>
      <c r="BE6" s="18">
        <f>BD6+X6</f>
        <v/>
      </c>
      <c r="BF6" s="18">
        <f>BE6+Y6</f>
        <v/>
      </c>
      <c r="BG6" s="18">
        <f>BF6+Z6</f>
        <v/>
      </c>
      <c r="BH6" s="18">
        <f>BG6+AA6</f>
        <v/>
      </c>
      <c r="BI6" s="18">
        <f>BH6+AB6</f>
        <v/>
      </c>
      <c r="BJ6" s="18">
        <f>BI6+AC6</f>
        <v/>
      </c>
      <c r="BK6" s="18">
        <f>BJ6+AD6</f>
        <v/>
      </c>
      <c r="BL6" s="18" t="n"/>
      <c r="BM6" s="18" t="n"/>
      <c r="BO6" s="13" t="inlineStr">
        <is>
          <t>FERT</t>
        </is>
      </c>
      <c r="BP6" s="51">
        <f>AI6/AI$2</f>
        <v/>
      </c>
      <c r="BQ6" s="51">
        <f>AJ6/AJ$2</f>
        <v/>
      </c>
      <c r="BR6" s="51">
        <f>AK6/AK$2</f>
        <v/>
      </c>
      <c r="BS6" s="51">
        <f>AL6/AL$2</f>
        <v/>
      </c>
      <c r="BT6" s="51">
        <f>AM6/AM$2</f>
        <v/>
      </c>
      <c r="BU6" s="51">
        <f>AN6/AN$2</f>
        <v/>
      </c>
      <c r="BV6" s="51">
        <f>AO6/AO$2</f>
        <v/>
      </c>
      <c r="BW6" s="51">
        <f>AP6/AP$2</f>
        <v/>
      </c>
      <c r="BX6" s="51">
        <f>AQ6/AQ$2</f>
        <v/>
      </c>
      <c r="BY6" s="51">
        <f>AR6/AR$2</f>
        <v/>
      </c>
      <c r="BZ6" s="51">
        <f>AS6/AS$2</f>
        <v/>
      </c>
      <c r="CA6" s="51">
        <f>AT6/AT$2</f>
        <v/>
      </c>
      <c r="CB6" s="51">
        <f>AU6/AU$2</f>
        <v/>
      </c>
      <c r="CC6" s="51">
        <f>AV6/AV$2</f>
        <v/>
      </c>
      <c r="CD6" s="51">
        <f>AW6/AW$2</f>
        <v/>
      </c>
      <c r="CE6" s="51">
        <f>AX6/AX$2</f>
        <v/>
      </c>
      <c r="CF6" s="51">
        <f>AY6/AY$2</f>
        <v/>
      </c>
      <c r="CG6" s="51">
        <f>AZ6/AZ$2</f>
        <v/>
      </c>
      <c r="CH6" s="51">
        <f>BA6/BA$2</f>
        <v/>
      </c>
      <c r="CI6" s="51">
        <f>BB6/BB$2</f>
        <v/>
      </c>
      <c r="CJ6" s="51">
        <f>BC6/BC$2</f>
        <v/>
      </c>
      <c r="CK6" s="51">
        <f>BD6/BD$2</f>
        <v/>
      </c>
      <c r="CL6" s="51">
        <f>BE6/BE$2</f>
        <v/>
      </c>
      <c r="CM6" s="51">
        <f>BF6/BF$2</f>
        <v/>
      </c>
      <c r="CN6" s="51">
        <f>BG6/BG$2</f>
        <v/>
      </c>
      <c r="CO6" s="51">
        <f>BH6/BH$2</f>
        <v/>
      </c>
      <c r="CP6" s="51">
        <f>BI6/BI$2</f>
        <v/>
      </c>
      <c r="CQ6" s="51">
        <f>BJ6/BJ$2</f>
        <v/>
      </c>
      <c r="CR6" s="51">
        <f>BK6/BK$2</f>
        <v/>
      </c>
      <c r="CS6" s="51" t="n"/>
      <c r="CT6" s="51" t="n"/>
      <c r="CU6" s="23" t="n"/>
      <c r="CV6" s="13" t="inlineStr">
        <is>
          <t>FERT</t>
        </is>
      </c>
      <c r="CW6" s="23" t="n">
        <v>0</v>
      </c>
      <c r="CY6" s="13" t="inlineStr">
        <is>
          <t>FERT</t>
        </is>
      </c>
      <c r="CZ6" s="18">
        <f>CW6+B6</f>
        <v/>
      </c>
      <c r="DA6" s="18">
        <f>CZ6+C6</f>
        <v/>
      </c>
      <c r="DB6" s="18">
        <f>DA6+D6</f>
        <v/>
      </c>
      <c r="DC6" s="18">
        <f>DB6+E6</f>
        <v/>
      </c>
      <c r="DD6" s="18">
        <f>DC6+F6</f>
        <v/>
      </c>
      <c r="DE6" s="18">
        <f>DD6+G6</f>
        <v/>
      </c>
      <c r="DF6" s="18">
        <f>DE6+H6</f>
        <v/>
      </c>
      <c r="DG6" s="18">
        <f>DF6+I6</f>
        <v/>
      </c>
      <c r="DH6" s="18">
        <f>DG6+J6</f>
        <v/>
      </c>
      <c r="DI6" s="18">
        <f>DH6+K6</f>
        <v/>
      </c>
      <c r="DJ6" s="18">
        <f>DI6+L6</f>
        <v/>
      </c>
      <c r="DK6" s="18">
        <f>DJ6+M6</f>
        <v/>
      </c>
      <c r="DL6" s="18">
        <f>DK6+N6</f>
        <v/>
      </c>
      <c r="DM6" s="18">
        <f>DL6+O6</f>
        <v/>
      </c>
      <c r="DN6" s="18">
        <f>DM6+P6</f>
        <v/>
      </c>
      <c r="DO6" s="18">
        <f>DN6+Q6</f>
        <v/>
      </c>
      <c r="DP6" s="18">
        <f>DO6+R6</f>
        <v/>
      </c>
      <c r="DQ6" s="18">
        <f>DP6+S6</f>
        <v/>
      </c>
      <c r="DR6" s="18">
        <f>DQ6+T6</f>
        <v/>
      </c>
      <c r="DS6" s="18">
        <f>DR6+U6</f>
        <v/>
      </c>
      <c r="DT6" s="18">
        <f>DS6+V6</f>
        <v/>
      </c>
      <c r="DU6" s="18">
        <f>DT6+W6</f>
        <v/>
      </c>
      <c r="DV6" s="18">
        <f>DU6+X6</f>
        <v/>
      </c>
      <c r="DW6" s="18">
        <f>DV6+Y6</f>
        <v/>
      </c>
      <c r="DX6" s="18">
        <f>DW6+Z6</f>
        <v/>
      </c>
      <c r="DY6" s="18">
        <f>DX6+AA6</f>
        <v/>
      </c>
      <c r="DZ6" s="18">
        <f>DY6+AB6</f>
        <v/>
      </c>
      <c r="EA6" s="18">
        <f>DZ6+AC6</f>
        <v/>
      </c>
      <c r="EB6" s="18">
        <f>EA6+AD6</f>
        <v/>
      </c>
      <c r="EC6" s="18" t="n"/>
      <c r="ED6" s="18" t="n"/>
      <c r="EF6" s="13" t="inlineStr">
        <is>
          <t>FERT</t>
        </is>
      </c>
      <c r="EG6" s="51">
        <f>CZ6/EG$2</f>
        <v/>
      </c>
      <c r="EH6" s="51">
        <f>DA6/EH$2</f>
        <v/>
      </c>
      <c r="EI6" s="51">
        <f>DB6/EI$2</f>
        <v/>
      </c>
      <c r="EJ6" s="51">
        <f>DC6/EJ$2</f>
        <v/>
      </c>
      <c r="EK6" s="51">
        <f>DD6/EK$2</f>
        <v/>
      </c>
      <c r="EL6" s="51">
        <f>DE6/EL$2</f>
        <v/>
      </c>
      <c r="EM6" s="51">
        <f>DF6/EM$2</f>
        <v/>
      </c>
      <c r="EN6" s="51">
        <f>DG6/EN$2</f>
        <v/>
      </c>
      <c r="EO6" s="51">
        <f>DH6/EO$2</f>
        <v/>
      </c>
      <c r="EP6" s="51">
        <f>DI6/EP$2</f>
        <v/>
      </c>
      <c r="EQ6" s="51">
        <f>DJ6/EQ$2</f>
        <v/>
      </c>
      <c r="ER6" s="51">
        <f>DK6/ER$2</f>
        <v/>
      </c>
      <c r="ES6" s="51">
        <f>DL6/ES$2</f>
        <v/>
      </c>
      <c r="ET6" s="51">
        <f>DM6/ET$2</f>
        <v/>
      </c>
      <c r="EU6" s="51">
        <f>DN6/EU$2</f>
        <v/>
      </c>
      <c r="EV6" s="51">
        <f>DO6/EV$2</f>
        <v/>
      </c>
      <c r="EW6" s="51">
        <f>DP6/EW$2</f>
        <v/>
      </c>
      <c r="EX6" s="51">
        <f>DQ6/EX$2</f>
        <v/>
      </c>
      <c r="EY6" s="51">
        <f>DR6/EY$2</f>
        <v/>
      </c>
      <c r="EZ6" s="51">
        <f>DS6/EZ$2</f>
        <v/>
      </c>
      <c r="FA6" s="51">
        <f>DT6/FA$2</f>
        <v/>
      </c>
      <c r="FB6" s="51">
        <f>DU6/FB$2</f>
        <v/>
      </c>
      <c r="FC6" s="51">
        <f>DV6/FC$2</f>
        <v/>
      </c>
      <c r="FD6" s="51">
        <f>DW6/FD$2</f>
        <v/>
      </c>
      <c r="FE6" s="51">
        <f>DX6/FE$2</f>
        <v/>
      </c>
      <c r="FF6" s="51">
        <f>DY6/FF$2</f>
        <v/>
      </c>
      <c r="FG6" s="51">
        <f>DZ6/FG$2</f>
        <v/>
      </c>
      <c r="FH6" s="51">
        <f>EA6/FH$2</f>
        <v/>
      </c>
      <c r="FI6" s="51">
        <f>EB6/FI$2</f>
        <v/>
      </c>
      <c r="FJ6" s="51" t="n"/>
      <c r="FK6" s="51" t="n"/>
    </row>
    <row r="7" ht="15.75" customHeight="1">
      <c r="A7" s="13" t="inlineStr">
        <is>
          <t>IMFT</t>
        </is>
      </c>
      <c r="B7" s="18">
        <f>'1'!$D9</f>
        <v/>
      </c>
      <c r="C7" s="18">
        <f>'2'!$D9</f>
        <v/>
      </c>
      <c r="D7" s="18">
        <f>'3'!$D9</f>
        <v/>
      </c>
      <c r="E7" s="18">
        <f>'4'!$D9</f>
        <v/>
      </c>
      <c r="F7" s="18">
        <f>'5'!$D9</f>
        <v/>
      </c>
      <c r="G7" s="18">
        <f>'6'!$D9</f>
        <v/>
      </c>
      <c r="H7" s="18">
        <f>'7'!$D9</f>
        <v/>
      </c>
      <c r="I7" s="18">
        <f>'8'!$D9</f>
        <v/>
      </c>
      <c r="J7" s="18">
        <f>'9'!$D9</f>
        <v/>
      </c>
      <c r="K7" s="18">
        <f>'10'!$D9</f>
        <v/>
      </c>
      <c r="L7" s="18">
        <f>'11'!$D9</f>
        <v/>
      </c>
      <c r="M7" s="18">
        <f>'12'!$D9</f>
        <v/>
      </c>
      <c r="N7" s="18">
        <f>'13'!$D9</f>
        <v/>
      </c>
      <c r="O7" s="18">
        <f>'14'!$D9</f>
        <v/>
      </c>
      <c r="P7" s="18">
        <f>'15'!$D9</f>
        <v/>
      </c>
      <c r="Q7" s="18">
        <f>'16'!$D9</f>
        <v/>
      </c>
      <c r="R7" s="18">
        <f>'17'!$D9</f>
        <v/>
      </c>
      <c r="S7" s="18">
        <f>'18'!$D9</f>
        <v/>
      </c>
      <c r="T7" s="18">
        <f>'19'!$D9</f>
        <v/>
      </c>
      <c r="U7" s="18">
        <f>'20'!$D9</f>
        <v/>
      </c>
      <c r="V7" s="18">
        <f>'21'!$D9</f>
        <v/>
      </c>
      <c r="W7" s="18">
        <f>'22'!$D9</f>
        <v/>
      </c>
      <c r="X7" s="18">
        <f>'23'!$D9</f>
        <v/>
      </c>
      <c r="Y7" s="18">
        <f>'24'!$D9</f>
        <v/>
      </c>
      <c r="Z7" s="18">
        <f>'25'!$D9</f>
        <v/>
      </c>
      <c r="AA7" s="18">
        <f>'26'!$D9</f>
        <v/>
      </c>
      <c r="AB7" s="18">
        <f>'27'!$D9</f>
        <v/>
      </c>
      <c r="AC7" s="18">
        <f>'28'!$D9</f>
        <v/>
      </c>
      <c r="AD7" s="18">
        <f>'29'!$D9</f>
        <v/>
      </c>
      <c r="AE7" s="18" t="n"/>
      <c r="AF7" s="22" t="n"/>
      <c r="AH7" s="13" t="inlineStr">
        <is>
          <t>IMFT</t>
        </is>
      </c>
      <c r="AI7" s="18">
        <f>B7</f>
        <v/>
      </c>
      <c r="AJ7" s="18">
        <f>AI7+C7</f>
        <v/>
      </c>
      <c r="AK7" s="18">
        <f>AJ7+D7</f>
        <v/>
      </c>
      <c r="AL7" s="18">
        <f>AK7+E7</f>
        <v/>
      </c>
      <c r="AM7" s="18">
        <f>AL7+F7</f>
        <v/>
      </c>
      <c r="AN7" s="18">
        <f>AM7+G7</f>
        <v/>
      </c>
      <c r="AO7" s="18">
        <f>AN7+H7</f>
        <v/>
      </c>
      <c r="AP7" s="18">
        <f>AO7+I7</f>
        <v/>
      </c>
      <c r="AQ7" s="18">
        <f>AP7+J7</f>
        <v/>
      </c>
      <c r="AR7" s="18">
        <f>AQ7+K7</f>
        <v/>
      </c>
      <c r="AS7" s="18">
        <f>AR7+L7</f>
        <v/>
      </c>
      <c r="AT7" s="18">
        <f>AS7+M7</f>
        <v/>
      </c>
      <c r="AU7" s="18">
        <f>AT7+N7</f>
        <v/>
      </c>
      <c r="AV7" s="18">
        <f>AU7+O7</f>
        <v/>
      </c>
      <c r="AW7" s="18">
        <f>AV7+P7</f>
        <v/>
      </c>
      <c r="AX7" s="18">
        <f>AW7+Q7</f>
        <v/>
      </c>
      <c r="AY7" s="18">
        <f>AX7+R7</f>
        <v/>
      </c>
      <c r="AZ7" s="18">
        <f>AY7+S7</f>
        <v/>
      </c>
      <c r="BA7" s="18">
        <f>AZ7+T7</f>
        <v/>
      </c>
      <c r="BB7" s="18">
        <f>BA7+U7</f>
        <v/>
      </c>
      <c r="BC7" s="18">
        <f>BB7+V7</f>
        <v/>
      </c>
      <c r="BD7" s="18">
        <f>BC7+W7</f>
        <v/>
      </c>
      <c r="BE7" s="18">
        <f>BD7+X7</f>
        <v/>
      </c>
      <c r="BF7" s="18">
        <f>BE7+Y7</f>
        <v/>
      </c>
      <c r="BG7" s="18">
        <f>BF7+Z7</f>
        <v/>
      </c>
      <c r="BH7" s="18">
        <f>BG7+AA7</f>
        <v/>
      </c>
      <c r="BI7" s="18">
        <f>BH7+AB7</f>
        <v/>
      </c>
      <c r="BJ7" s="18">
        <f>BI7+AC7</f>
        <v/>
      </c>
      <c r="BK7" s="18">
        <f>BJ7+AD7</f>
        <v/>
      </c>
      <c r="BL7" s="18" t="n"/>
      <c r="BM7" s="18" t="n"/>
      <c r="BO7" s="13" t="inlineStr">
        <is>
          <t>IMFT</t>
        </is>
      </c>
      <c r="BP7" s="51">
        <f>AI7/AI$2</f>
        <v/>
      </c>
      <c r="BQ7" s="51">
        <f>AJ7/AJ$2</f>
        <v/>
      </c>
      <c r="BR7" s="51">
        <f>AK7/AK$2</f>
        <v/>
      </c>
      <c r="BS7" s="51">
        <f>AL7/AL$2</f>
        <v/>
      </c>
      <c r="BT7" s="51">
        <f>AM7/AM$2</f>
        <v/>
      </c>
      <c r="BU7" s="51">
        <f>AN7/AN$2</f>
        <v/>
      </c>
      <c r="BV7" s="51">
        <f>AO7/AO$2</f>
        <v/>
      </c>
      <c r="BW7" s="51">
        <f>AP7/AP$2</f>
        <v/>
      </c>
      <c r="BX7" s="51">
        <f>AQ7/AQ$2</f>
        <v/>
      </c>
      <c r="BY7" s="51">
        <f>AR7/AR$2</f>
        <v/>
      </c>
      <c r="BZ7" s="51">
        <f>AS7/AS$2</f>
        <v/>
      </c>
      <c r="CA7" s="51">
        <f>AT7/AT$2</f>
        <v/>
      </c>
      <c r="CB7" s="51">
        <f>AU7/AU$2</f>
        <v/>
      </c>
      <c r="CC7" s="51">
        <f>AV7/AV$2</f>
        <v/>
      </c>
      <c r="CD7" s="51">
        <f>AW7/AW$2</f>
        <v/>
      </c>
      <c r="CE7" s="51">
        <f>AX7/AX$2</f>
        <v/>
      </c>
      <c r="CF7" s="51">
        <f>AY7/AY$2</f>
        <v/>
      </c>
      <c r="CG7" s="51">
        <f>AZ7/AZ$2</f>
        <v/>
      </c>
      <c r="CH7" s="51">
        <f>BA7/BA$2</f>
        <v/>
      </c>
      <c r="CI7" s="51">
        <f>BB7/BB$2</f>
        <v/>
      </c>
      <c r="CJ7" s="51">
        <f>BC7/BC$2</f>
        <v/>
      </c>
      <c r="CK7" s="51">
        <f>BD7/BD$2</f>
        <v/>
      </c>
      <c r="CL7" s="51">
        <f>BE7/BE$2</f>
        <v/>
      </c>
      <c r="CM7" s="51">
        <f>BF7/BF$2</f>
        <v/>
      </c>
      <c r="CN7" s="51">
        <f>BG7/BG$2</f>
        <v/>
      </c>
      <c r="CO7" s="51">
        <f>BH7/BH$2</f>
        <v/>
      </c>
      <c r="CP7" s="51">
        <f>BI7/BI$2</f>
        <v/>
      </c>
      <c r="CQ7" s="51">
        <f>BJ7/BJ$2</f>
        <v/>
      </c>
      <c r="CR7" s="51">
        <f>BK7/BK$2</f>
        <v/>
      </c>
      <c r="CS7" s="51" t="n"/>
      <c r="CT7" s="51" t="n"/>
      <c r="CU7" s="23" t="n"/>
      <c r="CV7" s="13" t="inlineStr">
        <is>
          <t>IMFT</t>
        </is>
      </c>
      <c r="CW7" s="23" t="n">
        <v>0</v>
      </c>
      <c r="CY7" s="13" t="inlineStr">
        <is>
          <t>IMFT</t>
        </is>
      </c>
      <c r="CZ7" s="18">
        <f>CW7+B7</f>
        <v/>
      </c>
      <c r="DA7" s="18">
        <f>CZ7+C7</f>
        <v/>
      </c>
      <c r="DB7" s="18">
        <f>DA7+D7</f>
        <v/>
      </c>
      <c r="DC7" s="18">
        <f>DB7+E7</f>
        <v/>
      </c>
      <c r="DD7" s="18">
        <f>DC7+F7</f>
        <v/>
      </c>
      <c r="DE7" s="18">
        <f>DD7+G7</f>
        <v/>
      </c>
      <c r="DF7" s="18">
        <f>DE7+H7</f>
        <v/>
      </c>
      <c r="DG7" s="18">
        <f>DF7+I7</f>
        <v/>
      </c>
      <c r="DH7" s="18">
        <f>DG7+J7</f>
        <v/>
      </c>
      <c r="DI7" s="18">
        <f>DH7+K7</f>
        <v/>
      </c>
      <c r="DJ7" s="18">
        <f>DI7+L7</f>
        <v/>
      </c>
      <c r="DK7" s="18">
        <f>DJ7+M7</f>
        <v/>
      </c>
      <c r="DL7" s="18">
        <f>DK7+N7</f>
        <v/>
      </c>
      <c r="DM7" s="18">
        <f>DL7+O7</f>
        <v/>
      </c>
      <c r="DN7" s="18">
        <f>DM7+P7</f>
        <v/>
      </c>
      <c r="DO7" s="18">
        <f>DN7+Q7</f>
        <v/>
      </c>
      <c r="DP7" s="18">
        <f>DO7+R7</f>
        <v/>
      </c>
      <c r="DQ7" s="18">
        <f>DP7+S7</f>
        <v/>
      </c>
      <c r="DR7" s="18">
        <f>DQ7+T7</f>
        <v/>
      </c>
      <c r="DS7" s="18">
        <f>DR7+U7</f>
        <v/>
      </c>
      <c r="DT7" s="18">
        <f>DS7+V7</f>
        <v/>
      </c>
      <c r="DU7" s="18">
        <f>DT7+W7</f>
        <v/>
      </c>
      <c r="DV7" s="18">
        <f>DU7+X7</f>
        <v/>
      </c>
      <c r="DW7" s="18">
        <f>DV7+Y7</f>
        <v/>
      </c>
      <c r="DX7" s="18">
        <f>DW7+Z7</f>
        <v/>
      </c>
      <c r="DY7" s="18">
        <f>DX7+AA7</f>
        <v/>
      </c>
      <c r="DZ7" s="18">
        <f>DY7+AB7</f>
        <v/>
      </c>
      <c r="EA7" s="18">
        <f>DZ7+AC7</f>
        <v/>
      </c>
      <c r="EB7" s="18">
        <f>EA7+AD7</f>
        <v/>
      </c>
      <c r="EC7" s="18" t="n"/>
      <c r="ED7" s="18" t="n"/>
      <c r="EF7" s="13" t="inlineStr">
        <is>
          <t>IMFT</t>
        </is>
      </c>
      <c r="EG7" s="51">
        <f>CZ7/EG$2</f>
        <v/>
      </c>
      <c r="EH7" s="51">
        <f>DA7/EH$2</f>
        <v/>
      </c>
      <c r="EI7" s="51">
        <f>DB7/EI$2</f>
        <v/>
      </c>
      <c r="EJ7" s="51">
        <f>DC7/EJ$2</f>
        <v/>
      </c>
      <c r="EK7" s="51">
        <f>DD7/EK$2</f>
        <v/>
      </c>
      <c r="EL7" s="51">
        <f>DE7/EL$2</f>
        <v/>
      </c>
      <c r="EM7" s="51">
        <f>DF7/EM$2</f>
        <v/>
      </c>
      <c r="EN7" s="51">
        <f>DG7/EN$2</f>
        <v/>
      </c>
      <c r="EO7" s="51">
        <f>DH7/EO$2</f>
        <v/>
      </c>
      <c r="EP7" s="51">
        <f>DI7/EP$2</f>
        <v/>
      </c>
      <c r="EQ7" s="51">
        <f>DJ7/EQ$2</f>
        <v/>
      </c>
      <c r="ER7" s="51">
        <f>DK7/ER$2</f>
        <v/>
      </c>
      <c r="ES7" s="51">
        <f>DL7/ES$2</f>
        <v/>
      </c>
      <c r="ET7" s="51">
        <f>DM7/ET$2</f>
        <v/>
      </c>
      <c r="EU7" s="51">
        <f>DN7/EU$2</f>
        <v/>
      </c>
      <c r="EV7" s="51">
        <f>DO7/EV$2</f>
        <v/>
      </c>
      <c r="EW7" s="51">
        <f>DP7/EW$2</f>
        <v/>
      </c>
      <c r="EX7" s="51">
        <f>DQ7/EX$2</f>
        <v/>
      </c>
      <c r="EY7" s="51">
        <f>DR7/EY$2</f>
        <v/>
      </c>
      <c r="EZ7" s="51">
        <f>DS7/EZ$2</f>
        <v/>
      </c>
      <c r="FA7" s="51">
        <f>DT7/FA$2</f>
        <v/>
      </c>
      <c r="FB7" s="51">
        <f>DU7/FB$2</f>
        <v/>
      </c>
      <c r="FC7" s="51">
        <f>DV7/FC$2</f>
        <v/>
      </c>
      <c r="FD7" s="51">
        <f>DW7/FD$2</f>
        <v/>
      </c>
      <c r="FE7" s="51">
        <f>DX7/FE$2</f>
        <v/>
      </c>
      <c r="FF7" s="51">
        <f>DY7/FF$2</f>
        <v/>
      </c>
      <c r="FG7" s="51">
        <f>DZ7/FG$2</f>
        <v/>
      </c>
      <c r="FH7" s="51">
        <f>EA7/FH$2</f>
        <v/>
      </c>
      <c r="FI7" s="51">
        <f>EB7/FI$2</f>
        <v/>
      </c>
      <c r="FJ7" s="51" t="n"/>
      <c r="FK7" s="51" t="n"/>
    </row>
    <row r="8" ht="15.75" customHeight="1">
      <c r="A8" s="13" t="inlineStr">
        <is>
          <t>POL</t>
        </is>
      </c>
      <c r="B8" s="18">
        <f>'1'!$D10</f>
        <v/>
      </c>
      <c r="C8" s="18">
        <f>'2'!$D10</f>
        <v/>
      </c>
      <c r="D8" s="18">
        <f>'3'!$D10</f>
        <v/>
      </c>
      <c r="E8" s="18">
        <f>'4'!$D10</f>
        <v/>
      </c>
      <c r="F8" s="18">
        <f>'5'!$D10</f>
        <v/>
      </c>
      <c r="G8" s="18">
        <f>'6'!$D10</f>
        <v/>
      </c>
      <c r="H8" s="18">
        <f>'7'!$D10</f>
        <v/>
      </c>
      <c r="I8" s="18">
        <f>'8'!$D10</f>
        <v/>
      </c>
      <c r="J8" s="18">
        <f>'9'!$D10</f>
        <v/>
      </c>
      <c r="K8" s="18">
        <f>'10'!$D10</f>
        <v/>
      </c>
      <c r="L8" s="18">
        <f>'11'!$D10</f>
        <v/>
      </c>
      <c r="M8" s="18">
        <f>'12'!$D10</f>
        <v/>
      </c>
      <c r="N8" s="18">
        <f>'13'!$D10</f>
        <v/>
      </c>
      <c r="O8" s="18">
        <f>'14'!$D10</f>
        <v/>
      </c>
      <c r="P8" s="18">
        <f>'15'!$D10</f>
        <v/>
      </c>
      <c r="Q8" s="18">
        <f>'16'!$D10</f>
        <v/>
      </c>
      <c r="R8" s="18">
        <f>'17'!$D10</f>
        <v/>
      </c>
      <c r="S8" s="18">
        <f>'18'!$D10</f>
        <v/>
      </c>
      <c r="T8" s="18">
        <f>'19'!$D10</f>
        <v/>
      </c>
      <c r="U8" s="18">
        <f>'20'!$D10</f>
        <v/>
      </c>
      <c r="V8" s="18">
        <f>'21'!$D10</f>
        <v/>
      </c>
      <c r="W8" s="18">
        <f>'22'!$D10</f>
        <v/>
      </c>
      <c r="X8" s="18">
        <f>'23'!$D10</f>
        <v/>
      </c>
      <c r="Y8" s="18">
        <f>'24'!$D10</f>
        <v/>
      </c>
      <c r="Z8" s="18">
        <f>'25'!$D10</f>
        <v/>
      </c>
      <c r="AA8" s="18">
        <f>'26'!$D10</f>
        <v/>
      </c>
      <c r="AB8" s="18">
        <f>'27'!$D10</f>
        <v/>
      </c>
      <c r="AC8" s="18">
        <f>'28'!$D10</f>
        <v/>
      </c>
      <c r="AD8" s="18">
        <f>'29'!$D10</f>
        <v/>
      </c>
      <c r="AE8" s="18" t="n"/>
      <c r="AF8" s="22" t="n"/>
      <c r="AH8" s="13" t="inlineStr">
        <is>
          <t>POL</t>
        </is>
      </c>
      <c r="AI8" s="18">
        <f>B8</f>
        <v/>
      </c>
      <c r="AJ8" s="18">
        <f>AI8+C8</f>
        <v/>
      </c>
      <c r="AK8" s="18">
        <f>AJ8+D8</f>
        <v/>
      </c>
      <c r="AL8" s="18">
        <f>AK8+E8</f>
        <v/>
      </c>
      <c r="AM8" s="18">
        <f>AL8+F8</f>
        <v/>
      </c>
      <c r="AN8" s="18">
        <f>AM8+G8</f>
        <v/>
      </c>
      <c r="AO8" s="18">
        <f>AN8+H8</f>
        <v/>
      </c>
      <c r="AP8" s="18">
        <f>AO8+I8</f>
        <v/>
      </c>
      <c r="AQ8" s="18">
        <f>AP8+J8</f>
        <v/>
      </c>
      <c r="AR8" s="18">
        <f>AQ8+K8</f>
        <v/>
      </c>
      <c r="AS8" s="18">
        <f>AR8+L8</f>
        <v/>
      </c>
      <c r="AT8" s="18">
        <f>AS8+M8</f>
        <v/>
      </c>
      <c r="AU8" s="18">
        <f>AT8+N8</f>
        <v/>
      </c>
      <c r="AV8" s="18">
        <f>AU8+O8</f>
        <v/>
      </c>
      <c r="AW8" s="18">
        <f>AV8+P8</f>
        <v/>
      </c>
      <c r="AX8" s="18">
        <f>AW8+Q8</f>
        <v/>
      </c>
      <c r="AY8" s="18">
        <f>AX8+R8</f>
        <v/>
      </c>
      <c r="AZ8" s="18">
        <f>AY8+S8</f>
        <v/>
      </c>
      <c r="BA8" s="18">
        <f>AZ8+T8</f>
        <v/>
      </c>
      <c r="BB8" s="18">
        <f>BA8+U8</f>
        <v/>
      </c>
      <c r="BC8" s="18">
        <f>BB8+V8</f>
        <v/>
      </c>
      <c r="BD8" s="18">
        <f>BC8+W8</f>
        <v/>
      </c>
      <c r="BE8" s="18">
        <f>BD8+X8</f>
        <v/>
      </c>
      <c r="BF8" s="18">
        <f>BE8+Y8</f>
        <v/>
      </c>
      <c r="BG8" s="18">
        <f>BF8+Z8</f>
        <v/>
      </c>
      <c r="BH8" s="18">
        <f>BG8+AA8</f>
        <v/>
      </c>
      <c r="BI8" s="18">
        <f>BH8+AB8</f>
        <v/>
      </c>
      <c r="BJ8" s="18">
        <f>BI8+AC8</f>
        <v/>
      </c>
      <c r="BK8" s="18">
        <f>BJ8+AD8</f>
        <v/>
      </c>
      <c r="BL8" s="18" t="n"/>
      <c r="BM8" s="18" t="n"/>
      <c r="BO8" s="13" t="inlineStr">
        <is>
          <t>POL</t>
        </is>
      </c>
      <c r="BP8" s="51">
        <f>AI8/AI$2</f>
        <v/>
      </c>
      <c r="BQ8" s="51">
        <f>AJ8/AJ$2</f>
        <v/>
      </c>
      <c r="BR8" s="51">
        <f>AK8/AK$2</f>
        <v/>
      </c>
      <c r="BS8" s="51">
        <f>AL8/AL$2</f>
        <v/>
      </c>
      <c r="BT8" s="51">
        <f>AM8/AM$2</f>
        <v/>
      </c>
      <c r="BU8" s="51">
        <f>AN8/AN$2</f>
        <v/>
      </c>
      <c r="BV8" s="51">
        <f>AO8/AO$2</f>
        <v/>
      </c>
      <c r="BW8" s="51">
        <f>AP8/AP$2</f>
        <v/>
      </c>
      <c r="BX8" s="51">
        <f>AQ8/AQ$2</f>
        <v/>
      </c>
      <c r="BY8" s="51">
        <f>AR8/AR$2</f>
        <v/>
      </c>
      <c r="BZ8" s="51">
        <f>AS8/AS$2</f>
        <v/>
      </c>
      <c r="CA8" s="51">
        <f>AT8/AT$2</f>
        <v/>
      </c>
      <c r="CB8" s="51">
        <f>AU8/AU$2</f>
        <v/>
      </c>
      <c r="CC8" s="51">
        <f>AV8/AV$2</f>
        <v/>
      </c>
      <c r="CD8" s="51">
        <f>AW8/AW$2</f>
        <v/>
      </c>
      <c r="CE8" s="51">
        <f>AX8/AX$2</f>
        <v/>
      </c>
      <c r="CF8" s="51">
        <f>AY8/AY$2</f>
        <v/>
      </c>
      <c r="CG8" s="51">
        <f>AZ8/AZ$2</f>
        <v/>
      </c>
      <c r="CH8" s="51">
        <f>BA8/BA$2</f>
        <v/>
      </c>
      <c r="CI8" s="51">
        <f>BB8/BB$2</f>
        <v/>
      </c>
      <c r="CJ8" s="51">
        <f>BC8/BC$2</f>
        <v/>
      </c>
      <c r="CK8" s="51">
        <f>BD8/BD$2</f>
        <v/>
      </c>
      <c r="CL8" s="51">
        <f>BE8/BE$2</f>
        <v/>
      </c>
      <c r="CM8" s="51">
        <f>BF8/BF$2</f>
        <v/>
      </c>
      <c r="CN8" s="51">
        <f>BG8/BG$2</f>
        <v/>
      </c>
      <c r="CO8" s="51">
        <f>BH8/BH$2</f>
        <v/>
      </c>
      <c r="CP8" s="51">
        <f>BI8/BI$2</f>
        <v/>
      </c>
      <c r="CQ8" s="51">
        <f>BJ8/BJ$2</f>
        <v/>
      </c>
      <c r="CR8" s="51">
        <f>BK8/BK$2</f>
        <v/>
      </c>
      <c r="CS8" s="51" t="n"/>
      <c r="CT8" s="51" t="n"/>
      <c r="CU8" s="23" t="n"/>
      <c r="CV8" s="13" t="inlineStr">
        <is>
          <t>POL</t>
        </is>
      </c>
      <c r="CW8" s="23" t="n">
        <v>0</v>
      </c>
      <c r="CY8" s="13" t="inlineStr">
        <is>
          <t>POL</t>
        </is>
      </c>
      <c r="CZ8" s="18">
        <f>CW8+B8</f>
        <v/>
      </c>
      <c r="DA8" s="18">
        <f>CZ8+C8</f>
        <v/>
      </c>
      <c r="DB8" s="18">
        <f>DA8+D8</f>
        <v/>
      </c>
      <c r="DC8" s="18">
        <f>DB8+E8</f>
        <v/>
      </c>
      <c r="DD8" s="18">
        <f>DC8+F8</f>
        <v/>
      </c>
      <c r="DE8" s="18">
        <f>DD8+G8</f>
        <v/>
      </c>
      <c r="DF8" s="18">
        <f>DE8+H8</f>
        <v/>
      </c>
      <c r="DG8" s="18">
        <f>DF8+I8</f>
        <v/>
      </c>
      <c r="DH8" s="18">
        <f>DG8+J8</f>
        <v/>
      </c>
      <c r="DI8" s="18">
        <f>DH8+K8</f>
        <v/>
      </c>
      <c r="DJ8" s="18">
        <f>DI8+L8</f>
        <v/>
      </c>
      <c r="DK8" s="18">
        <f>DJ8+M8</f>
        <v/>
      </c>
      <c r="DL8" s="18">
        <f>DK8+N8</f>
        <v/>
      </c>
      <c r="DM8" s="18">
        <f>DL8+O8</f>
        <v/>
      </c>
      <c r="DN8" s="18">
        <f>DM8+P8</f>
        <v/>
      </c>
      <c r="DO8" s="18">
        <f>DN8+Q8</f>
        <v/>
      </c>
      <c r="DP8" s="18">
        <f>DO8+R8</f>
        <v/>
      </c>
      <c r="DQ8" s="18">
        <f>DP8+S8</f>
        <v/>
      </c>
      <c r="DR8" s="18">
        <f>DQ8+T8</f>
        <v/>
      </c>
      <c r="DS8" s="18">
        <f>DR8+U8</f>
        <v/>
      </c>
      <c r="DT8" s="18">
        <f>DS8+V8</f>
        <v/>
      </c>
      <c r="DU8" s="18">
        <f>DT8+W8</f>
        <v/>
      </c>
      <c r="DV8" s="18">
        <f>DU8+X8</f>
        <v/>
      </c>
      <c r="DW8" s="18">
        <f>DV8+Y8</f>
        <v/>
      </c>
      <c r="DX8" s="18">
        <f>DW8+Z8</f>
        <v/>
      </c>
      <c r="DY8" s="18">
        <f>DX8+AA8</f>
        <v/>
      </c>
      <c r="DZ8" s="18">
        <f>DY8+AB8</f>
        <v/>
      </c>
      <c r="EA8" s="18">
        <f>DZ8+AC8</f>
        <v/>
      </c>
      <c r="EB8" s="18">
        <f>EA8+AD8</f>
        <v/>
      </c>
      <c r="EC8" s="18" t="n"/>
      <c r="ED8" s="18" t="n"/>
      <c r="EF8" s="13" t="inlineStr">
        <is>
          <t>POL</t>
        </is>
      </c>
      <c r="EG8" s="51">
        <f>CZ8/EG$2</f>
        <v/>
      </c>
      <c r="EH8" s="51">
        <f>DA8/EH$2</f>
        <v/>
      </c>
      <c r="EI8" s="51">
        <f>DB8/EI$2</f>
        <v/>
      </c>
      <c r="EJ8" s="51">
        <f>DC8/EJ$2</f>
        <v/>
      </c>
      <c r="EK8" s="51">
        <f>DD8/EK$2</f>
        <v/>
      </c>
      <c r="EL8" s="51">
        <f>DE8/EL$2</f>
        <v/>
      </c>
      <c r="EM8" s="51">
        <f>DF8/EM$2</f>
        <v/>
      </c>
      <c r="EN8" s="51">
        <f>DG8/EN$2</f>
        <v/>
      </c>
      <c r="EO8" s="51">
        <f>DH8/EO$2</f>
        <v/>
      </c>
      <c r="EP8" s="51">
        <f>DI8/EP$2</f>
        <v/>
      </c>
      <c r="EQ8" s="51">
        <f>DJ8/EQ$2</f>
        <v/>
      </c>
      <c r="ER8" s="51">
        <f>DK8/ER$2</f>
        <v/>
      </c>
      <c r="ES8" s="51">
        <f>DL8/ES$2</f>
        <v/>
      </c>
      <c r="ET8" s="51">
        <f>DM8/ET$2</f>
        <v/>
      </c>
      <c r="EU8" s="51">
        <f>DN8/EU$2</f>
        <v/>
      </c>
      <c r="EV8" s="51">
        <f>DO8/EV$2</f>
        <v/>
      </c>
      <c r="EW8" s="51">
        <f>DP8/EW$2</f>
        <v/>
      </c>
      <c r="EX8" s="51">
        <f>DQ8/EX$2</f>
        <v/>
      </c>
      <c r="EY8" s="51">
        <f>DR8/EY$2</f>
        <v/>
      </c>
      <c r="EZ8" s="51">
        <f>DS8/EZ$2</f>
        <v/>
      </c>
      <c r="FA8" s="51">
        <f>DT8/FA$2</f>
        <v/>
      </c>
      <c r="FB8" s="51">
        <f>DU8/FB$2</f>
        <v/>
      </c>
      <c r="FC8" s="51">
        <f>DV8/FC$2</f>
        <v/>
      </c>
      <c r="FD8" s="51">
        <f>DW8/FD$2</f>
        <v/>
      </c>
      <c r="FE8" s="51">
        <f>DX8/FE$2</f>
        <v/>
      </c>
      <c r="FF8" s="51">
        <f>DY8/FF$2</f>
        <v/>
      </c>
      <c r="FG8" s="51">
        <f>DZ8/FG$2</f>
        <v/>
      </c>
      <c r="FH8" s="51">
        <f>EA8/FH$2</f>
        <v/>
      </c>
      <c r="FI8" s="51">
        <f>EB8/FI$2</f>
        <v/>
      </c>
      <c r="FJ8" s="51" t="n"/>
      <c r="FK8" s="51" t="n"/>
    </row>
    <row r="9" ht="15.75" customHeight="1">
      <c r="A9" s="13" t="inlineStr">
        <is>
          <t>SALT</t>
        </is>
      </c>
      <c r="B9" s="18">
        <f>'1'!$D11</f>
        <v/>
      </c>
      <c r="C9" s="18">
        <f>'2'!$D11</f>
        <v/>
      </c>
      <c r="D9" s="18">
        <f>'3'!$D11</f>
        <v/>
      </c>
      <c r="E9" s="18">
        <f>'4'!$D11</f>
        <v/>
      </c>
      <c r="F9" s="18">
        <f>'5'!$D11</f>
        <v/>
      </c>
      <c r="G9" s="18">
        <f>'6'!$D11</f>
        <v/>
      </c>
      <c r="H9" s="18">
        <f>'7'!$D11</f>
        <v/>
      </c>
      <c r="I9" s="18">
        <f>'8'!$D11</f>
        <v/>
      </c>
      <c r="J9" s="18">
        <f>'9'!$D11</f>
        <v/>
      </c>
      <c r="K9" s="18">
        <f>'10'!$D11</f>
        <v/>
      </c>
      <c r="L9" s="18">
        <f>'11'!$D11</f>
        <v/>
      </c>
      <c r="M9" s="18">
        <f>'12'!$D11</f>
        <v/>
      </c>
      <c r="N9" s="18">
        <f>'13'!$D11</f>
        <v/>
      </c>
      <c r="O9" s="18">
        <f>'14'!$D11</f>
        <v/>
      </c>
      <c r="P9" s="18">
        <f>'15'!$D11</f>
        <v/>
      </c>
      <c r="Q9" s="18">
        <f>'16'!$D11</f>
        <v/>
      </c>
      <c r="R9" s="18">
        <f>'17'!$D11</f>
        <v/>
      </c>
      <c r="S9" s="18">
        <f>'18'!$D11</f>
        <v/>
      </c>
      <c r="T9" s="18">
        <f>'19'!$D11</f>
        <v/>
      </c>
      <c r="U9" s="18">
        <f>'20'!$D11</f>
        <v/>
      </c>
      <c r="V9" s="18">
        <f>'21'!$D11</f>
        <v/>
      </c>
      <c r="W9" s="18">
        <f>'22'!$D11</f>
        <v/>
      </c>
      <c r="X9" s="18">
        <f>'23'!$D11</f>
        <v/>
      </c>
      <c r="Y9" s="18">
        <f>'24'!$D11</f>
        <v/>
      </c>
      <c r="Z9" s="18">
        <f>'25'!$D11</f>
        <v/>
      </c>
      <c r="AA9" s="18">
        <f>'26'!$D11</f>
        <v/>
      </c>
      <c r="AB9" s="18">
        <f>'27'!$D11</f>
        <v/>
      </c>
      <c r="AC9" s="18">
        <f>'28'!$D11</f>
        <v/>
      </c>
      <c r="AD9" s="18">
        <f>'29'!$D11</f>
        <v/>
      </c>
      <c r="AE9" s="18" t="n"/>
      <c r="AF9" s="22" t="n"/>
      <c r="AH9" s="13" t="inlineStr">
        <is>
          <t>SALT</t>
        </is>
      </c>
      <c r="AI9" s="18">
        <f>B9</f>
        <v/>
      </c>
      <c r="AJ9" s="18">
        <f>AI9+C9</f>
        <v/>
      </c>
      <c r="AK9" s="18">
        <f>AJ9+D9</f>
        <v/>
      </c>
      <c r="AL9" s="18">
        <f>AK9+E9</f>
        <v/>
      </c>
      <c r="AM9" s="18">
        <f>AL9+F9</f>
        <v/>
      </c>
      <c r="AN9" s="18">
        <f>AM9+G9</f>
        <v/>
      </c>
      <c r="AO9" s="18">
        <f>AN9+H9</f>
        <v/>
      </c>
      <c r="AP9" s="18">
        <f>AO9+I9</f>
        <v/>
      </c>
      <c r="AQ9" s="18">
        <f>AP9+J9</f>
        <v/>
      </c>
      <c r="AR9" s="18">
        <f>AQ9+K9</f>
        <v/>
      </c>
      <c r="AS9" s="18">
        <f>AR9+L9</f>
        <v/>
      </c>
      <c r="AT9" s="18">
        <f>AS9+M9</f>
        <v/>
      </c>
      <c r="AU9" s="18">
        <f>AT9+N9</f>
        <v/>
      </c>
      <c r="AV9" s="18">
        <f>AU9+O9</f>
        <v/>
      </c>
      <c r="AW9" s="18">
        <f>AV9+P9</f>
        <v/>
      </c>
      <c r="AX9" s="18">
        <f>AW9+Q9</f>
        <v/>
      </c>
      <c r="AY9" s="18">
        <f>AX9+R9</f>
        <v/>
      </c>
      <c r="AZ9" s="18">
        <f>AY9+S9</f>
        <v/>
      </c>
      <c r="BA9" s="18">
        <f>AZ9+T9</f>
        <v/>
      </c>
      <c r="BB9" s="18">
        <f>BA9+U9</f>
        <v/>
      </c>
      <c r="BC9" s="18">
        <f>BB9+V9</f>
        <v/>
      </c>
      <c r="BD9" s="18">
        <f>BC9+W9</f>
        <v/>
      </c>
      <c r="BE9" s="18">
        <f>BD9+X9</f>
        <v/>
      </c>
      <c r="BF9" s="18">
        <f>BE9+Y9</f>
        <v/>
      </c>
      <c r="BG9" s="18">
        <f>BF9+Z9</f>
        <v/>
      </c>
      <c r="BH9" s="18">
        <f>BG9+AA9</f>
        <v/>
      </c>
      <c r="BI9" s="18">
        <f>BH9+AB9</f>
        <v/>
      </c>
      <c r="BJ9" s="18">
        <f>BI9+AC9</f>
        <v/>
      </c>
      <c r="BK9" s="18">
        <f>BJ9+AD9</f>
        <v/>
      </c>
      <c r="BL9" s="18" t="n"/>
      <c r="BM9" s="18" t="n"/>
      <c r="BO9" s="13" t="inlineStr">
        <is>
          <t>SALT</t>
        </is>
      </c>
      <c r="BP9" s="51">
        <f>AI9/AI$2</f>
        <v/>
      </c>
      <c r="BQ9" s="51">
        <f>AJ9/AJ$2</f>
        <v/>
      </c>
      <c r="BR9" s="51">
        <f>AK9/AK$2</f>
        <v/>
      </c>
      <c r="BS9" s="51">
        <f>AL9/AL$2</f>
        <v/>
      </c>
      <c r="BT9" s="51">
        <f>AM9/AM$2</f>
        <v/>
      </c>
      <c r="BU9" s="51">
        <f>AN9/AN$2</f>
        <v/>
      </c>
      <c r="BV9" s="51">
        <f>AO9/AO$2</f>
        <v/>
      </c>
      <c r="BW9" s="51">
        <f>AP9/AP$2</f>
        <v/>
      </c>
      <c r="BX9" s="51">
        <f>AQ9/AQ$2</f>
        <v/>
      </c>
      <c r="BY9" s="51">
        <f>AR9/AR$2</f>
        <v/>
      </c>
      <c r="BZ9" s="51">
        <f>AS9/AS$2</f>
        <v/>
      </c>
      <c r="CA9" s="51">
        <f>AT9/AT$2</f>
        <v/>
      </c>
      <c r="CB9" s="51">
        <f>AU9/AU$2</f>
        <v/>
      </c>
      <c r="CC9" s="51">
        <f>AV9/AV$2</f>
        <v/>
      </c>
      <c r="CD9" s="51">
        <f>AW9/AW$2</f>
        <v/>
      </c>
      <c r="CE9" s="51">
        <f>AX9/AX$2</f>
        <v/>
      </c>
      <c r="CF9" s="51">
        <f>AY9/AY$2</f>
        <v/>
      </c>
      <c r="CG9" s="51">
        <f>AZ9/AZ$2</f>
        <v/>
      </c>
      <c r="CH9" s="51">
        <f>BA9/BA$2</f>
        <v/>
      </c>
      <c r="CI9" s="51">
        <f>BB9/BB$2</f>
        <v/>
      </c>
      <c r="CJ9" s="51">
        <f>BC9/BC$2</f>
        <v/>
      </c>
      <c r="CK9" s="51">
        <f>BD9/BD$2</f>
        <v/>
      </c>
      <c r="CL9" s="51">
        <f>BE9/BE$2</f>
        <v/>
      </c>
      <c r="CM9" s="51">
        <f>BF9/BF$2</f>
        <v/>
      </c>
      <c r="CN9" s="51">
        <f>BG9/BG$2</f>
        <v/>
      </c>
      <c r="CO9" s="51">
        <f>BH9/BH$2</f>
        <v/>
      </c>
      <c r="CP9" s="51">
        <f>BI9/BI$2</f>
        <v/>
      </c>
      <c r="CQ9" s="51">
        <f>BJ9/BJ$2</f>
        <v/>
      </c>
      <c r="CR9" s="51">
        <f>BK9/BK$2</f>
        <v/>
      </c>
      <c r="CS9" s="51" t="n"/>
      <c r="CT9" s="51" t="n"/>
      <c r="CU9" s="23" t="n"/>
      <c r="CV9" s="13" t="inlineStr">
        <is>
          <t>SALT</t>
        </is>
      </c>
      <c r="CW9" s="23" t="n">
        <v>0</v>
      </c>
      <c r="CY9" s="13" t="inlineStr">
        <is>
          <t>SALT</t>
        </is>
      </c>
      <c r="CZ9" s="18">
        <f>CW9+B9</f>
        <v/>
      </c>
      <c r="DA9" s="18">
        <f>CZ9+C9</f>
        <v/>
      </c>
      <c r="DB9" s="18">
        <f>DA9+D9</f>
        <v/>
      </c>
      <c r="DC9" s="18">
        <f>DB9+E9</f>
        <v/>
      </c>
      <c r="DD9" s="18">
        <f>DC9+F9</f>
        <v/>
      </c>
      <c r="DE9" s="18">
        <f>DD9+G9</f>
        <v/>
      </c>
      <c r="DF9" s="18">
        <f>DE9+H9</f>
        <v/>
      </c>
      <c r="DG9" s="18">
        <f>DF9+I9</f>
        <v/>
      </c>
      <c r="DH9" s="18">
        <f>DG9+J9</f>
        <v/>
      </c>
      <c r="DI9" s="18">
        <f>DH9+K9</f>
        <v/>
      </c>
      <c r="DJ9" s="18">
        <f>DI9+L9</f>
        <v/>
      </c>
      <c r="DK9" s="18">
        <f>DJ9+M9</f>
        <v/>
      </c>
      <c r="DL9" s="18">
        <f>DK9+N9</f>
        <v/>
      </c>
      <c r="DM9" s="18">
        <f>DL9+O9</f>
        <v/>
      </c>
      <c r="DN9" s="18">
        <f>DM9+P9</f>
        <v/>
      </c>
      <c r="DO9" s="18">
        <f>DN9+Q9</f>
        <v/>
      </c>
      <c r="DP9" s="18">
        <f>DO9+R9</f>
        <v/>
      </c>
      <c r="DQ9" s="18">
        <f>DP9+S9</f>
        <v/>
      </c>
      <c r="DR9" s="18">
        <f>DQ9+T9</f>
        <v/>
      </c>
      <c r="DS9" s="18">
        <f>DR9+U9</f>
        <v/>
      </c>
      <c r="DT9" s="18">
        <f>DS9+V9</f>
        <v/>
      </c>
      <c r="DU9" s="18">
        <f>DT9+W9</f>
        <v/>
      </c>
      <c r="DV9" s="18">
        <f>DU9+X9</f>
        <v/>
      </c>
      <c r="DW9" s="18">
        <f>DV9+Y9</f>
        <v/>
      </c>
      <c r="DX9" s="18">
        <f>DW9+Z9</f>
        <v/>
      </c>
      <c r="DY9" s="18">
        <f>DX9+AA9</f>
        <v/>
      </c>
      <c r="DZ9" s="18">
        <f>DY9+AB9</f>
        <v/>
      </c>
      <c r="EA9" s="18">
        <f>DZ9+AC9</f>
        <v/>
      </c>
      <c r="EB9" s="18">
        <f>EA9+AD9</f>
        <v/>
      </c>
      <c r="EC9" s="18" t="n"/>
      <c r="ED9" s="18" t="n"/>
      <c r="EF9" s="13" t="inlineStr">
        <is>
          <t>SALT</t>
        </is>
      </c>
      <c r="EG9" s="51">
        <f>CZ9/EG$2</f>
        <v/>
      </c>
      <c r="EH9" s="51">
        <f>DA9/EH$2</f>
        <v/>
      </c>
      <c r="EI9" s="51">
        <f>DB9/EI$2</f>
        <v/>
      </c>
      <c r="EJ9" s="51">
        <f>DC9/EJ$2</f>
        <v/>
      </c>
      <c r="EK9" s="51">
        <f>DD9/EK$2</f>
        <v/>
      </c>
      <c r="EL9" s="51">
        <f>DE9/EL$2</f>
        <v/>
      </c>
      <c r="EM9" s="51">
        <f>DF9/EM$2</f>
        <v/>
      </c>
      <c r="EN9" s="51">
        <f>DG9/EN$2</f>
        <v/>
      </c>
      <c r="EO9" s="51">
        <f>DH9/EO$2</f>
        <v/>
      </c>
      <c r="EP9" s="51">
        <f>DI9/EP$2</f>
        <v/>
      </c>
      <c r="EQ9" s="51">
        <f>DJ9/EQ$2</f>
        <v/>
      </c>
      <c r="ER9" s="51">
        <f>DK9/ER$2</f>
        <v/>
      </c>
      <c r="ES9" s="51">
        <f>DL9/ES$2</f>
        <v/>
      </c>
      <c r="ET9" s="51">
        <f>DM9/ET$2</f>
        <v/>
      </c>
      <c r="EU9" s="51">
        <f>DN9/EU$2</f>
        <v/>
      </c>
      <c r="EV9" s="51">
        <f>DO9/EV$2</f>
        <v/>
      </c>
      <c r="EW9" s="51">
        <f>DP9/EW$2</f>
        <v/>
      </c>
      <c r="EX9" s="51">
        <f>DQ9/EX$2</f>
        <v/>
      </c>
      <c r="EY9" s="51">
        <f>DR9/EY$2</f>
        <v/>
      </c>
      <c r="EZ9" s="51">
        <f>DS9/EZ$2</f>
        <v/>
      </c>
      <c r="FA9" s="51">
        <f>DT9/FA$2</f>
        <v/>
      </c>
      <c r="FB9" s="51">
        <f>DU9/FB$2</f>
        <v/>
      </c>
      <c r="FC9" s="51">
        <f>DV9/FC$2</f>
        <v/>
      </c>
      <c r="FD9" s="51">
        <f>DW9/FD$2</f>
        <v/>
      </c>
      <c r="FE9" s="51">
        <f>DX9/FE$2</f>
        <v/>
      </c>
      <c r="FF9" s="51">
        <f>DY9/FF$2</f>
        <v/>
      </c>
      <c r="FG9" s="51">
        <f>DZ9/FG$2</f>
        <v/>
      </c>
      <c r="FH9" s="51">
        <f>EA9/FH$2</f>
        <v/>
      </c>
      <c r="FI9" s="51">
        <f>EB9/FI$2</f>
        <v/>
      </c>
      <c r="FJ9" s="51" t="n"/>
      <c r="FK9" s="51" t="n"/>
    </row>
    <row r="10" ht="15.75" customHeight="1">
      <c r="A10" s="13" t="inlineStr">
        <is>
          <t>STEEL</t>
        </is>
      </c>
      <c r="B10" s="18">
        <f>'1'!$D12</f>
        <v/>
      </c>
      <c r="C10" s="18">
        <f>'2'!$D12</f>
        <v/>
      </c>
      <c r="D10" s="18">
        <f>'3'!$D12</f>
        <v/>
      </c>
      <c r="E10" s="18">
        <f>'4'!$D12</f>
        <v/>
      </c>
      <c r="F10" s="18">
        <f>'5'!$D12</f>
        <v/>
      </c>
      <c r="G10" s="18">
        <f>'6'!$D12</f>
        <v/>
      </c>
      <c r="H10" s="18">
        <f>'7'!$D12</f>
        <v/>
      </c>
      <c r="I10" s="18">
        <f>'8'!$D12</f>
        <v/>
      </c>
      <c r="J10" s="18">
        <f>'9'!$D12</f>
        <v/>
      </c>
      <c r="K10" s="18">
        <f>'10'!$D12</f>
        <v/>
      </c>
      <c r="L10" s="18">
        <f>'11'!$D12</f>
        <v/>
      </c>
      <c r="M10" s="18">
        <f>'12'!$D12</f>
        <v/>
      </c>
      <c r="N10" s="18">
        <f>'13'!$D12</f>
        <v/>
      </c>
      <c r="O10" s="18">
        <f>'14'!$D12</f>
        <v/>
      </c>
      <c r="P10" s="18">
        <f>'15'!$D12</f>
        <v/>
      </c>
      <c r="Q10" s="18">
        <f>'16'!$D12</f>
        <v/>
      </c>
      <c r="R10" s="18">
        <f>'17'!$D12</f>
        <v/>
      </c>
      <c r="S10" s="18">
        <f>'18'!$D12</f>
        <v/>
      </c>
      <c r="T10" s="18">
        <f>'19'!$D12</f>
        <v/>
      </c>
      <c r="U10" s="18">
        <f>'20'!$D12</f>
        <v/>
      </c>
      <c r="V10" s="18">
        <f>'21'!$D12</f>
        <v/>
      </c>
      <c r="W10" s="18">
        <f>'22'!$D12</f>
        <v/>
      </c>
      <c r="X10" s="18">
        <f>'23'!$D12</f>
        <v/>
      </c>
      <c r="Y10" s="18">
        <f>'24'!$D12</f>
        <v/>
      </c>
      <c r="Z10" s="18">
        <f>'25'!$D12</f>
        <v/>
      </c>
      <c r="AA10" s="18">
        <f>'26'!$D12</f>
        <v/>
      </c>
      <c r="AB10" s="18">
        <f>'27'!$D12</f>
        <v/>
      </c>
      <c r="AC10" s="18">
        <f>'28'!$D12</f>
        <v/>
      </c>
      <c r="AD10" s="18">
        <f>'29'!$D12</f>
        <v/>
      </c>
      <c r="AE10" s="18" t="n"/>
      <c r="AF10" s="22" t="n"/>
      <c r="AH10" s="13" t="inlineStr">
        <is>
          <t>STEEL</t>
        </is>
      </c>
      <c r="AI10" s="18">
        <f>B10</f>
        <v/>
      </c>
      <c r="AJ10" s="18">
        <f>AI10+C10</f>
        <v/>
      </c>
      <c r="AK10" s="18">
        <f>AJ10+D10</f>
        <v/>
      </c>
      <c r="AL10" s="18">
        <f>AK10+E10</f>
        <v/>
      </c>
      <c r="AM10" s="18">
        <f>AL10+F10</f>
        <v/>
      </c>
      <c r="AN10" s="18">
        <f>AM10+G10</f>
        <v/>
      </c>
      <c r="AO10" s="18">
        <f>AN10+H10</f>
        <v/>
      </c>
      <c r="AP10" s="18">
        <f>AO10+I10</f>
        <v/>
      </c>
      <c r="AQ10" s="18">
        <f>AP10+J10</f>
        <v/>
      </c>
      <c r="AR10" s="18">
        <f>AQ10+K10</f>
        <v/>
      </c>
      <c r="AS10" s="18">
        <f>AR10+L10</f>
        <v/>
      </c>
      <c r="AT10" s="18">
        <f>AS10+M10</f>
        <v/>
      </c>
      <c r="AU10" s="18">
        <f>AT10+N10</f>
        <v/>
      </c>
      <c r="AV10" s="18">
        <f>AU10+O10</f>
        <v/>
      </c>
      <c r="AW10" s="18">
        <f>AV10+P10</f>
        <v/>
      </c>
      <c r="AX10" s="18">
        <f>AW10+Q10</f>
        <v/>
      </c>
      <c r="AY10" s="18">
        <f>AX10+R10</f>
        <v/>
      </c>
      <c r="AZ10" s="18">
        <f>AY10+S10</f>
        <v/>
      </c>
      <c r="BA10" s="18">
        <f>AZ10+T10</f>
        <v/>
      </c>
      <c r="BB10" s="18">
        <f>BA10+U10</f>
        <v/>
      </c>
      <c r="BC10" s="18">
        <f>BB10+V10</f>
        <v/>
      </c>
      <c r="BD10" s="18">
        <f>BC10+W10</f>
        <v/>
      </c>
      <c r="BE10" s="18">
        <f>BD10+X10</f>
        <v/>
      </c>
      <c r="BF10" s="18">
        <f>BE10+Y10</f>
        <v/>
      </c>
      <c r="BG10" s="18">
        <f>BF10+Z10</f>
        <v/>
      </c>
      <c r="BH10" s="18">
        <f>BG10+AA10</f>
        <v/>
      </c>
      <c r="BI10" s="18">
        <f>BH10+AB10</f>
        <v/>
      </c>
      <c r="BJ10" s="18">
        <f>BI10+AC10</f>
        <v/>
      </c>
      <c r="BK10" s="18">
        <f>BJ10+AD10</f>
        <v/>
      </c>
      <c r="BL10" s="18" t="n"/>
      <c r="BM10" s="18" t="n"/>
      <c r="BO10" s="13" t="inlineStr">
        <is>
          <t>STEEL</t>
        </is>
      </c>
      <c r="BP10" s="51">
        <f>AI10/AI$2</f>
        <v/>
      </c>
      <c r="BQ10" s="51">
        <f>AJ10/AJ$2</f>
        <v/>
      </c>
      <c r="BR10" s="51">
        <f>AK10/AK$2</f>
        <v/>
      </c>
      <c r="BS10" s="51">
        <f>AL10/AL$2</f>
        <v/>
      </c>
      <c r="BT10" s="51">
        <f>AM10/AM$2</f>
        <v/>
      </c>
      <c r="BU10" s="51">
        <f>AN10/AN$2</f>
        <v/>
      </c>
      <c r="BV10" s="51">
        <f>AO10/AO$2</f>
        <v/>
      </c>
      <c r="BW10" s="51">
        <f>AP10/AP$2</f>
        <v/>
      </c>
      <c r="BX10" s="51">
        <f>AQ10/AQ$2</f>
        <v/>
      </c>
      <c r="BY10" s="51">
        <f>AR10/AR$2</f>
        <v/>
      </c>
      <c r="BZ10" s="51">
        <f>AS10/AS$2</f>
        <v/>
      </c>
      <c r="CA10" s="51">
        <f>AT10/AT$2</f>
        <v/>
      </c>
      <c r="CB10" s="51">
        <f>AU10/AU$2</f>
        <v/>
      </c>
      <c r="CC10" s="51">
        <f>AV10/AV$2</f>
        <v/>
      </c>
      <c r="CD10" s="51">
        <f>AW10/AW$2</f>
        <v/>
      </c>
      <c r="CE10" s="51">
        <f>AX10/AX$2</f>
        <v/>
      </c>
      <c r="CF10" s="51">
        <f>AY10/AY$2</f>
        <v/>
      </c>
      <c r="CG10" s="51">
        <f>AZ10/AZ$2</f>
        <v/>
      </c>
      <c r="CH10" s="51">
        <f>BA10/BA$2</f>
        <v/>
      </c>
      <c r="CI10" s="51">
        <f>BB10/BB$2</f>
        <v/>
      </c>
      <c r="CJ10" s="51">
        <f>BC10/BC$2</f>
        <v/>
      </c>
      <c r="CK10" s="51">
        <f>BD10/BD$2</f>
        <v/>
      </c>
      <c r="CL10" s="51">
        <f>BE10/BE$2</f>
        <v/>
      </c>
      <c r="CM10" s="51">
        <f>BF10/BF$2</f>
        <v/>
      </c>
      <c r="CN10" s="51">
        <f>BG10/BG$2</f>
        <v/>
      </c>
      <c r="CO10" s="51">
        <f>BH10/BH$2</f>
        <v/>
      </c>
      <c r="CP10" s="51">
        <f>BI10/BI$2</f>
        <v/>
      </c>
      <c r="CQ10" s="51">
        <f>BJ10/BJ$2</f>
        <v/>
      </c>
      <c r="CR10" s="51">
        <f>BK10/BK$2</f>
        <v/>
      </c>
      <c r="CS10" s="51" t="n"/>
      <c r="CT10" s="51" t="n"/>
      <c r="CU10" s="23" t="n"/>
      <c r="CV10" s="13" t="inlineStr">
        <is>
          <t>STEEL</t>
        </is>
      </c>
      <c r="CW10" s="23" t="n">
        <v>0</v>
      </c>
      <c r="CY10" s="13" t="inlineStr">
        <is>
          <t>STEEL</t>
        </is>
      </c>
      <c r="CZ10" s="18">
        <f>CW10+B10</f>
        <v/>
      </c>
      <c r="DA10" s="18">
        <f>CZ10+C10</f>
        <v/>
      </c>
      <c r="DB10" s="18">
        <f>DA10+D10</f>
        <v/>
      </c>
      <c r="DC10" s="18">
        <f>DB10+E10</f>
        <v/>
      </c>
      <c r="DD10" s="18">
        <f>DC10+F10</f>
        <v/>
      </c>
      <c r="DE10" s="18">
        <f>DD10+G10</f>
        <v/>
      </c>
      <c r="DF10" s="18">
        <f>DE10+H10</f>
        <v/>
      </c>
      <c r="DG10" s="18">
        <f>DF10+I10</f>
        <v/>
      </c>
      <c r="DH10" s="18">
        <f>DG10+J10</f>
        <v/>
      </c>
      <c r="DI10" s="18">
        <f>DH10+K10</f>
        <v/>
      </c>
      <c r="DJ10" s="18">
        <f>DI10+L10</f>
        <v/>
      </c>
      <c r="DK10" s="18">
        <f>DJ10+M10</f>
        <v/>
      </c>
      <c r="DL10" s="18">
        <f>DK10+N10</f>
        <v/>
      </c>
      <c r="DM10" s="18">
        <f>DL10+O10</f>
        <v/>
      </c>
      <c r="DN10" s="18">
        <f>DM10+P10</f>
        <v/>
      </c>
      <c r="DO10" s="18">
        <f>DN10+Q10</f>
        <v/>
      </c>
      <c r="DP10" s="18">
        <f>DO10+R10</f>
        <v/>
      </c>
      <c r="DQ10" s="18">
        <f>DP10+S10</f>
        <v/>
      </c>
      <c r="DR10" s="18">
        <f>DQ10+T10</f>
        <v/>
      </c>
      <c r="DS10" s="18">
        <f>DR10+U10</f>
        <v/>
      </c>
      <c r="DT10" s="18">
        <f>DS10+V10</f>
        <v/>
      </c>
      <c r="DU10" s="18">
        <f>DT10+W10</f>
        <v/>
      </c>
      <c r="DV10" s="18">
        <f>DU10+X10</f>
        <v/>
      </c>
      <c r="DW10" s="18">
        <f>DV10+Y10</f>
        <v/>
      </c>
      <c r="DX10" s="18">
        <f>DW10+Z10</f>
        <v/>
      </c>
      <c r="DY10" s="18">
        <f>DX10+AA10</f>
        <v/>
      </c>
      <c r="DZ10" s="18">
        <f>DY10+AB10</f>
        <v/>
      </c>
      <c r="EA10" s="18">
        <f>DZ10+AC10</f>
        <v/>
      </c>
      <c r="EB10" s="18">
        <f>EA10+AD10</f>
        <v/>
      </c>
      <c r="EC10" s="18" t="n"/>
      <c r="ED10" s="18" t="n"/>
      <c r="EF10" s="13" t="inlineStr">
        <is>
          <t>STEEL</t>
        </is>
      </c>
      <c r="EG10" s="51">
        <f>CZ10/EG$2</f>
        <v/>
      </c>
      <c r="EH10" s="51">
        <f>DA10/EH$2</f>
        <v/>
      </c>
      <c r="EI10" s="51">
        <f>DB10/EI$2</f>
        <v/>
      </c>
      <c r="EJ10" s="51">
        <f>DC10/EJ$2</f>
        <v/>
      </c>
      <c r="EK10" s="51">
        <f>DD10/EK$2</f>
        <v/>
      </c>
      <c r="EL10" s="51">
        <f>DE10/EL$2</f>
        <v/>
      </c>
      <c r="EM10" s="51">
        <f>DF10/EM$2</f>
        <v/>
      </c>
      <c r="EN10" s="51">
        <f>DG10/EN$2</f>
        <v/>
      </c>
      <c r="EO10" s="51">
        <f>DH10/EO$2</f>
        <v/>
      </c>
      <c r="EP10" s="51">
        <f>DI10/EP$2</f>
        <v/>
      </c>
      <c r="EQ10" s="51">
        <f>DJ10/EQ$2</f>
        <v/>
      </c>
      <c r="ER10" s="51">
        <f>DK10/ER$2</f>
        <v/>
      </c>
      <c r="ES10" s="51">
        <f>DL10/ES$2</f>
        <v/>
      </c>
      <c r="ET10" s="51">
        <f>DM10/ET$2</f>
        <v/>
      </c>
      <c r="EU10" s="51">
        <f>DN10/EU$2</f>
        <v/>
      </c>
      <c r="EV10" s="51">
        <f>DO10/EV$2</f>
        <v/>
      </c>
      <c r="EW10" s="51">
        <f>DP10/EW$2</f>
        <v/>
      </c>
      <c r="EX10" s="51">
        <f>DQ10/EX$2</f>
        <v/>
      </c>
      <c r="EY10" s="51">
        <f>DR10/EY$2</f>
        <v/>
      </c>
      <c r="EZ10" s="51">
        <f>DS10/EZ$2</f>
        <v/>
      </c>
      <c r="FA10" s="51">
        <f>DT10/FA$2</f>
        <v/>
      </c>
      <c r="FB10" s="51">
        <f>DU10/FB$2</f>
        <v/>
      </c>
      <c r="FC10" s="51">
        <f>DV10/FC$2</f>
        <v/>
      </c>
      <c r="FD10" s="51">
        <f>DW10/FD$2</f>
        <v/>
      </c>
      <c r="FE10" s="51">
        <f>DX10/FE$2</f>
        <v/>
      </c>
      <c r="FF10" s="51">
        <f>DY10/FF$2</f>
        <v/>
      </c>
      <c r="FG10" s="51">
        <f>DZ10/FG$2</f>
        <v/>
      </c>
      <c r="FH10" s="51">
        <f>EA10/FH$2</f>
        <v/>
      </c>
      <c r="FI10" s="51">
        <f>EB10/FI$2</f>
        <v/>
      </c>
      <c r="FJ10" s="51" t="n"/>
      <c r="FK10" s="51" t="n"/>
    </row>
    <row r="11" ht="15.75" customHeight="1">
      <c r="A11" s="13" t="inlineStr">
        <is>
          <t>DOC</t>
        </is>
      </c>
      <c r="B11" s="18">
        <f>'1'!$D13</f>
        <v/>
      </c>
      <c r="C11" s="18">
        <f>'2'!$D13</f>
        <v/>
      </c>
      <c r="D11" s="18">
        <f>'3'!$D13</f>
        <v/>
      </c>
      <c r="E11" s="18">
        <f>'4'!$D13</f>
        <v/>
      </c>
      <c r="F11" s="18">
        <f>'5'!$D13</f>
        <v/>
      </c>
      <c r="G11" s="18">
        <f>'6'!$D13</f>
        <v/>
      </c>
      <c r="H11" s="18">
        <f>'7'!$D13</f>
        <v/>
      </c>
      <c r="I11" s="18">
        <f>'8'!$D13</f>
        <v/>
      </c>
      <c r="J11" s="18">
        <f>'9'!$D13</f>
        <v/>
      </c>
      <c r="K11" s="18">
        <f>'10'!$D13</f>
        <v/>
      </c>
      <c r="L11" s="18">
        <f>'11'!$D13</f>
        <v/>
      </c>
      <c r="M11" s="18">
        <f>'12'!$D13</f>
        <v/>
      </c>
      <c r="N11" s="18">
        <f>'13'!$D13</f>
        <v/>
      </c>
      <c r="O11" s="18">
        <f>'14'!$D13</f>
        <v/>
      </c>
      <c r="P11" s="18">
        <f>'15'!$D13</f>
        <v/>
      </c>
      <c r="Q11" s="18">
        <f>'16'!$D13</f>
        <v/>
      </c>
      <c r="R11" s="18">
        <f>'17'!$D13</f>
        <v/>
      </c>
      <c r="S11" s="18">
        <f>'18'!$D13</f>
        <v/>
      </c>
      <c r="T11" s="18">
        <f>'19'!$D13</f>
        <v/>
      </c>
      <c r="U11" s="18">
        <f>'20'!$D13</f>
        <v/>
      </c>
      <c r="V11" s="18">
        <f>'21'!$D13</f>
        <v/>
      </c>
      <c r="W11" s="18">
        <f>'22'!$D13</f>
        <v/>
      </c>
      <c r="X11" s="18">
        <f>'23'!$D13</f>
        <v/>
      </c>
      <c r="Y11" s="18">
        <f>'24'!$D13</f>
        <v/>
      </c>
      <c r="Z11" s="18">
        <f>'25'!$D13</f>
        <v/>
      </c>
      <c r="AA11" s="18">
        <f>'26'!$D13</f>
        <v/>
      </c>
      <c r="AB11" s="18">
        <f>'27'!$D13</f>
        <v/>
      </c>
      <c r="AC11" s="18">
        <f>'28'!$D13</f>
        <v/>
      </c>
      <c r="AD11" s="18">
        <f>'29'!$D13</f>
        <v/>
      </c>
      <c r="AE11" s="18" t="n"/>
      <c r="AF11" s="22" t="n"/>
      <c r="AH11" s="13" t="inlineStr">
        <is>
          <t>DOC</t>
        </is>
      </c>
      <c r="AI11" s="18">
        <f>B11</f>
        <v/>
      </c>
      <c r="AJ11" s="18">
        <f>AI11+C11</f>
        <v/>
      </c>
      <c r="AK11" s="18">
        <f>AJ11+D11</f>
        <v/>
      </c>
      <c r="AL11" s="18">
        <f>AK11+E11</f>
        <v/>
      </c>
      <c r="AM11" s="18">
        <f>AL11+F11</f>
        <v/>
      </c>
      <c r="AN11" s="18">
        <f>AM11+G11</f>
        <v/>
      </c>
      <c r="AO11" s="18">
        <f>AN11+H11</f>
        <v/>
      </c>
      <c r="AP11" s="18">
        <f>AO11+I11</f>
        <v/>
      </c>
      <c r="AQ11" s="18">
        <f>AP11+J11</f>
        <v/>
      </c>
      <c r="AR11" s="18">
        <f>AQ11+K11</f>
        <v/>
      </c>
      <c r="AS11" s="18">
        <f>AR11+L11</f>
        <v/>
      </c>
      <c r="AT11" s="18">
        <f>AS11+M11</f>
        <v/>
      </c>
      <c r="AU11" s="18">
        <f>AT11+N11</f>
        <v/>
      </c>
      <c r="AV11" s="18">
        <f>AU11+O11</f>
        <v/>
      </c>
      <c r="AW11" s="18">
        <f>AV11+P11</f>
        <v/>
      </c>
      <c r="AX11" s="18">
        <f>AW11+Q11</f>
        <v/>
      </c>
      <c r="AY11" s="18">
        <f>AX11+R11</f>
        <v/>
      </c>
      <c r="AZ11" s="18">
        <f>AY11+S11</f>
        <v/>
      </c>
      <c r="BA11" s="18">
        <f>AZ11+T11</f>
        <v/>
      </c>
      <c r="BB11" s="18">
        <f>BA11+U11</f>
        <v/>
      </c>
      <c r="BC11" s="18">
        <f>BB11+V11</f>
        <v/>
      </c>
      <c r="BD11" s="18">
        <f>BC11+W11</f>
        <v/>
      </c>
      <c r="BE11" s="18">
        <f>BD11+X11</f>
        <v/>
      </c>
      <c r="BF11" s="18">
        <f>BE11+Y11</f>
        <v/>
      </c>
      <c r="BG11" s="18">
        <f>BF11+Z11</f>
        <v/>
      </c>
      <c r="BH11" s="18">
        <f>BG11+AA11</f>
        <v/>
      </c>
      <c r="BI11" s="18">
        <f>BH11+AB11</f>
        <v/>
      </c>
      <c r="BJ11" s="18">
        <f>BI11+AC11</f>
        <v/>
      </c>
      <c r="BK11" s="18">
        <f>BJ11+AD11</f>
        <v/>
      </c>
      <c r="BL11" s="18" t="n"/>
      <c r="BM11" s="18" t="n"/>
      <c r="BO11" s="13" t="inlineStr">
        <is>
          <t>DOC</t>
        </is>
      </c>
      <c r="BP11" s="51">
        <f>AI11/AI$2</f>
        <v/>
      </c>
      <c r="BQ11" s="51">
        <f>AJ11/AJ$2</f>
        <v/>
      </c>
      <c r="BR11" s="51">
        <f>AK11/AK$2</f>
        <v/>
      </c>
      <c r="BS11" s="51">
        <f>AL11/AL$2</f>
        <v/>
      </c>
      <c r="BT11" s="51">
        <f>AM11/AM$2</f>
        <v/>
      </c>
      <c r="BU11" s="51">
        <f>AN11/AN$2</f>
        <v/>
      </c>
      <c r="BV11" s="51">
        <f>AO11/AO$2</f>
        <v/>
      </c>
      <c r="BW11" s="51">
        <f>AP11/AP$2</f>
        <v/>
      </c>
      <c r="BX11" s="51">
        <f>AQ11/AQ$2</f>
        <v/>
      </c>
      <c r="BY11" s="51">
        <f>AR11/AR$2</f>
        <v/>
      </c>
      <c r="BZ11" s="51">
        <f>AS11/AS$2</f>
        <v/>
      </c>
      <c r="CA11" s="51">
        <f>AT11/AT$2</f>
        <v/>
      </c>
      <c r="CB11" s="51">
        <f>AU11/AU$2</f>
        <v/>
      </c>
      <c r="CC11" s="51">
        <f>AV11/AV$2</f>
        <v/>
      </c>
      <c r="CD11" s="51">
        <f>AW11/AW$2</f>
        <v/>
      </c>
      <c r="CE11" s="51">
        <f>AX11/AX$2</f>
        <v/>
      </c>
      <c r="CF11" s="51">
        <f>AY11/AY$2</f>
        <v/>
      </c>
      <c r="CG11" s="51">
        <f>AZ11/AZ$2</f>
        <v/>
      </c>
      <c r="CH11" s="51">
        <f>BA11/BA$2</f>
        <v/>
      </c>
      <c r="CI11" s="51">
        <f>BB11/BB$2</f>
        <v/>
      </c>
      <c r="CJ11" s="51">
        <f>BC11/BC$2</f>
        <v/>
      </c>
      <c r="CK11" s="51">
        <f>BD11/BD$2</f>
        <v/>
      </c>
      <c r="CL11" s="51">
        <f>BE11/BE$2</f>
        <v/>
      </c>
      <c r="CM11" s="51">
        <f>BF11/BF$2</f>
        <v/>
      </c>
      <c r="CN11" s="51">
        <f>BG11/BG$2</f>
        <v/>
      </c>
      <c r="CO11" s="51">
        <f>BH11/BH$2</f>
        <v/>
      </c>
      <c r="CP11" s="51">
        <f>BI11/BI$2</f>
        <v/>
      </c>
      <c r="CQ11" s="51">
        <f>BJ11/BJ$2</f>
        <v/>
      </c>
      <c r="CR11" s="51">
        <f>BK11/BK$2</f>
        <v/>
      </c>
      <c r="CS11" s="51" t="n"/>
      <c r="CT11" s="51" t="n"/>
      <c r="CU11" s="23" t="n"/>
      <c r="CV11" s="13" t="inlineStr">
        <is>
          <t>DOC</t>
        </is>
      </c>
      <c r="CW11" s="23" t="n">
        <v>0</v>
      </c>
      <c r="CY11" s="13" t="inlineStr">
        <is>
          <t>DOC</t>
        </is>
      </c>
      <c r="CZ11" s="18">
        <f>CW11+B11</f>
        <v/>
      </c>
      <c r="DA11" s="18">
        <f>CZ11+C11</f>
        <v/>
      </c>
      <c r="DB11" s="18">
        <f>DA11+D11</f>
        <v/>
      </c>
      <c r="DC11" s="18">
        <f>DB11+E11</f>
        <v/>
      </c>
      <c r="DD11" s="18">
        <f>DC11+F11</f>
        <v/>
      </c>
      <c r="DE11" s="18">
        <f>DD11+G11</f>
        <v/>
      </c>
      <c r="DF11" s="18">
        <f>DE11+H11</f>
        <v/>
      </c>
      <c r="DG11" s="18">
        <f>DF11+I11</f>
        <v/>
      </c>
      <c r="DH11" s="18">
        <f>DG11+J11</f>
        <v/>
      </c>
      <c r="DI11" s="18">
        <f>DH11+K11</f>
        <v/>
      </c>
      <c r="DJ11" s="18">
        <f>DI11+L11</f>
        <v/>
      </c>
      <c r="DK11" s="18">
        <f>DJ11+M11</f>
        <v/>
      </c>
      <c r="DL11" s="18">
        <f>DK11+N11</f>
        <v/>
      </c>
      <c r="DM11" s="18">
        <f>DL11+O11</f>
        <v/>
      </c>
      <c r="DN11" s="18">
        <f>DM11+P11</f>
        <v/>
      </c>
      <c r="DO11" s="18">
        <f>DN11+Q11</f>
        <v/>
      </c>
      <c r="DP11" s="18">
        <f>DO11+R11</f>
        <v/>
      </c>
      <c r="DQ11" s="18">
        <f>DP11+S11</f>
        <v/>
      </c>
      <c r="DR11" s="18">
        <f>DQ11+T11</f>
        <v/>
      </c>
      <c r="DS11" s="18">
        <f>DR11+U11</f>
        <v/>
      </c>
      <c r="DT11" s="18">
        <f>DS11+V11</f>
        <v/>
      </c>
      <c r="DU11" s="18">
        <f>DT11+W11</f>
        <v/>
      </c>
      <c r="DV11" s="18">
        <f>DU11+X11</f>
        <v/>
      </c>
      <c r="DW11" s="18">
        <f>DV11+Y11</f>
        <v/>
      </c>
      <c r="DX11" s="18">
        <f>DW11+Z11</f>
        <v/>
      </c>
      <c r="DY11" s="18">
        <f>DX11+AA11</f>
        <v/>
      </c>
      <c r="DZ11" s="18">
        <f>DY11+AB11</f>
        <v/>
      </c>
      <c r="EA11" s="18">
        <f>DZ11+AC11</f>
        <v/>
      </c>
      <c r="EB11" s="18">
        <f>EA11+AD11</f>
        <v/>
      </c>
      <c r="EC11" s="18" t="n"/>
      <c r="ED11" s="18" t="n"/>
      <c r="EF11" s="13" t="inlineStr">
        <is>
          <t>DOC</t>
        </is>
      </c>
      <c r="EG11" s="51">
        <f>CZ11/EG$2</f>
        <v/>
      </c>
      <c r="EH11" s="51">
        <f>DA11/EH$2</f>
        <v/>
      </c>
      <c r="EI11" s="51">
        <f>DB11/EI$2</f>
        <v/>
      </c>
      <c r="EJ11" s="51">
        <f>DC11/EJ$2</f>
        <v/>
      </c>
      <c r="EK11" s="51">
        <f>DD11/EK$2</f>
        <v/>
      </c>
      <c r="EL11" s="51">
        <f>DE11/EL$2</f>
        <v/>
      </c>
      <c r="EM11" s="51">
        <f>DF11/EM$2</f>
        <v/>
      </c>
      <c r="EN11" s="51">
        <f>DG11/EN$2</f>
        <v/>
      </c>
      <c r="EO11" s="51">
        <f>DH11/EO$2</f>
        <v/>
      </c>
      <c r="EP11" s="51">
        <f>DI11/EP$2</f>
        <v/>
      </c>
      <c r="EQ11" s="51">
        <f>DJ11/EQ$2</f>
        <v/>
      </c>
      <c r="ER11" s="51">
        <f>DK11/ER$2</f>
        <v/>
      </c>
      <c r="ES11" s="51">
        <f>DL11/ES$2</f>
        <v/>
      </c>
      <c r="ET11" s="51">
        <f>DM11/ET$2</f>
        <v/>
      </c>
      <c r="EU11" s="51">
        <f>DN11/EU$2</f>
        <v/>
      </c>
      <c r="EV11" s="51">
        <f>DO11/EV$2</f>
        <v/>
      </c>
      <c r="EW11" s="51">
        <f>DP11/EW$2</f>
        <v/>
      </c>
      <c r="EX11" s="51">
        <f>DQ11/EX$2</f>
        <v/>
      </c>
      <c r="EY11" s="51">
        <f>DR11/EY$2</f>
        <v/>
      </c>
      <c r="EZ11" s="51">
        <f>DS11/EZ$2</f>
        <v/>
      </c>
      <c r="FA11" s="51">
        <f>DT11/FA$2</f>
        <v/>
      </c>
      <c r="FB11" s="51">
        <f>DU11/FB$2</f>
        <v/>
      </c>
      <c r="FC11" s="51">
        <f>DV11/FC$2</f>
        <v/>
      </c>
      <c r="FD11" s="51">
        <f>DW11/FD$2</f>
        <v/>
      </c>
      <c r="FE11" s="51">
        <f>DX11/FE$2</f>
        <v/>
      </c>
      <c r="FF11" s="51">
        <f>DY11/FF$2</f>
        <v/>
      </c>
      <c r="FG11" s="51">
        <f>DZ11/FG$2</f>
        <v/>
      </c>
      <c r="FH11" s="51">
        <f>EA11/FH$2</f>
        <v/>
      </c>
      <c r="FI11" s="51">
        <f>EB11/FI$2</f>
        <v/>
      </c>
      <c r="FJ11" s="51" t="n"/>
      <c r="FK11" s="51" t="n"/>
    </row>
    <row r="12" ht="15.75" customHeight="1">
      <c r="A12" s="13" t="inlineStr">
        <is>
          <t>FG</t>
        </is>
      </c>
      <c r="B12" s="18">
        <f>'1'!$D14</f>
        <v/>
      </c>
      <c r="C12" s="18">
        <f>'2'!$D14</f>
        <v/>
      </c>
      <c r="D12" s="18">
        <f>'3'!$D14</f>
        <v/>
      </c>
      <c r="E12" s="18">
        <f>'4'!$D14</f>
        <v/>
      </c>
      <c r="F12" s="18">
        <f>'5'!$D14</f>
        <v/>
      </c>
      <c r="G12" s="18">
        <f>'6'!$D14</f>
        <v/>
      </c>
      <c r="H12" s="18">
        <f>'7'!$D14</f>
        <v/>
      </c>
      <c r="I12" s="18">
        <f>'8'!$D14</f>
        <v/>
      </c>
      <c r="J12" s="18">
        <f>'9'!$D14</f>
        <v/>
      </c>
      <c r="K12" s="18">
        <f>'10'!$D14</f>
        <v/>
      </c>
      <c r="L12" s="18">
        <f>'11'!$D14</f>
        <v/>
      </c>
      <c r="M12" s="18">
        <f>'12'!$D14</f>
        <v/>
      </c>
      <c r="N12" s="18">
        <f>'13'!$D14</f>
        <v/>
      </c>
      <c r="O12" s="18">
        <f>'14'!$D14</f>
        <v/>
      </c>
      <c r="P12" s="18">
        <f>'15'!$D14</f>
        <v/>
      </c>
      <c r="Q12" s="18">
        <f>'16'!$D14</f>
        <v/>
      </c>
      <c r="R12" s="18">
        <f>'17'!$D14</f>
        <v/>
      </c>
      <c r="S12" s="18">
        <f>'18'!$D14</f>
        <v/>
      </c>
      <c r="T12" s="18">
        <f>'19'!$D14</f>
        <v/>
      </c>
      <c r="U12" s="18">
        <f>'20'!$D14</f>
        <v/>
      </c>
      <c r="V12" s="18">
        <f>'21'!$D14</f>
        <v/>
      </c>
      <c r="W12" s="18">
        <f>'22'!$D14</f>
        <v/>
      </c>
      <c r="X12" s="18">
        <f>'23'!$D14</f>
        <v/>
      </c>
      <c r="Y12" s="18">
        <f>'24'!$D14</f>
        <v/>
      </c>
      <c r="Z12" s="18">
        <f>'25'!$D14</f>
        <v/>
      </c>
      <c r="AA12" s="18">
        <f>'26'!$D14</f>
        <v/>
      </c>
      <c r="AB12" s="18">
        <f>'27'!$D14</f>
        <v/>
      </c>
      <c r="AC12" s="18">
        <f>'28'!$D14</f>
        <v/>
      </c>
      <c r="AD12" s="18">
        <f>'29'!$D14</f>
        <v/>
      </c>
      <c r="AE12" s="18" t="n"/>
      <c r="AF12" s="22" t="n"/>
      <c r="AH12" s="13" t="inlineStr">
        <is>
          <t>FG</t>
        </is>
      </c>
      <c r="AI12" s="18">
        <f>B12</f>
        <v/>
      </c>
      <c r="AJ12" s="18">
        <f>AI12+C12</f>
        <v/>
      </c>
      <c r="AK12" s="18">
        <f>AJ12+D12</f>
        <v/>
      </c>
      <c r="AL12" s="18">
        <f>AK12+E12</f>
        <v/>
      </c>
      <c r="AM12" s="18">
        <f>AL12+F12</f>
        <v/>
      </c>
      <c r="AN12" s="18">
        <f>AM12+G12</f>
        <v/>
      </c>
      <c r="AO12" s="18">
        <f>AN12+H12</f>
        <v/>
      </c>
      <c r="AP12" s="18">
        <f>AO12+I12</f>
        <v/>
      </c>
      <c r="AQ12" s="18">
        <f>AP12+J12</f>
        <v/>
      </c>
      <c r="AR12" s="18">
        <f>AQ12+K12</f>
        <v/>
      </c>
      <c r="AS12" s="18">
        <f>AR12+L12</f>
        <v/>
      </c>
      <c r="AT12" s="18">
        <f>AS12+M12</f>
        <v/>
      </c>
      <c r="AU12" s="18">
        <f>AT12+N12</f>
        <v/>
      </c>
      <c r="AV12" s="18">
        <f>AU12+O12</f>
        <v/>
      </c>
      <c r="AW12" s="18">
        <f>AV12+P12</f>
        <v/>
      </c>
      <c r="AX12" s="18">
        <f>AW12+Q12</f>
        <v/>
      </c>
      <c r="AY12" s="18">
        <f>AX12+R12</f>
        <v/>
      </c>
      <c r="AZ12" s="18">
        <f>AY12+S12</f>
        <v/>
      </c>
      <c r="BA12" s="18">
        <f>AZ12+T12</f>
        <v/>
      </c>
      <c r="BB12" s="18">
        <f>BA12+U12</f>
        <v/>
      </c>
      <c r="BC12" s="18">
        <f>BB12+V12</f>
        <v/>
      </c>
      <c r="BD12" s="18">
        <f>BC12+W12</f>
        <v/>
      </c>
      <c r="BE12" s="18">
        <f>BD12+X12</f>
        <v/>
      </c>
      <c r="BF12" s="18">
        <f>BE12+Y12</f>
        <v/>
      </c>
      <c r="BG12" s="18">
        <f>BF12+Z12</f>
        <v/>
      </c>
      <c r="BH12" s="18">
        <f>BG12+AA12</f>
        <v/>
      </c>
      <c r="BI12" s="18">
        <f>BH12+AB12</f>
        <v/>
      </c>
      <c r="BJ12" s="18">
        <f>BI12+AC12</f>
        <v/>
      </c>
      <c r="BK12" s="18">
        <f>BJ12+AD12</f>
        <v/>
      </c>
      <c r="BL12" s="18" t="n"/>
      <c r="BM12" s="18" t="n"/>
      <c r="BO12" s="13" t="inlineStr">
        <is>
          <t>FG</t>
        </is>
      </c>
      <c r="BP12" s="51">
        <f>AI12/AI$2</f>
        <v/>
      </c>
      <c r="BQ12" s="51">
        <f>AJ12/AJ$2</f>
        <v/>
      </c>
      <c r="BR12" s="51">
        <f>AK12/AK$2</f>
        <v/>
      </c>
      <c r="BS12" s="51">
        <f>AL12/AL$2</f>
        <v/>
      </c>
      <c r="BT12" s="51">
        <f>AM12/AM$2</f>
        <v/>
      </c>
      <c r="BU12" s="51">
        <f>AN12/AN$2</f>
        <v/>
      </c>
      <c r="BV12" s="51">
        <f>AO12/AO$2</f>
        <v/>
      </c>
      <c r="BW12" s="51">
        <f>AP12/AP$2</f>
        <v/>
      </c>
      <c r="BX12" s="51">
        <f>AQ12/AQ$2</f>
        <v/>
      </c>
      <c r="BY12" s="51">
        <f>AR12/AR$2</f>
        <v/>
      </c>
      <c r="BZ12" s="51">
        <f>AS12/AS$2</f>
        <v/>
      </c>
      <c r="CA12" s="51">
        <f>AT12/AT$2</f>
        <v/>
      </c>
      <c r="CB12" s="51">
        <f>AU12/AU$2</f>
        <v/>
      </c>
      <c r="CC12" s="51">
        <f>AV12/AV$2</f>
        <v/>
      </c>
      <c r="CD12" s="51">
        <f>AW12/AW$2</f>
        <v/>
      </c>
      <c r="CE12" s="51">
        <f>AX12/AX$2</f>
        <v/>
      </c>
      <c r="CF12" s="51">
        <f>AY12/AY$2</f>
        <v/>
      </c>
      <c r="CG12" s="51">
        <f>AZ12/AZ$2</f>
        <v/>
      </c>
      <c r="CH12" s="51">
        <f>BA12/BA$2</f>
        <v/>
      </c>
      <c r="CI12" s="51">
        <f>BB12/BB$2</f>
        <v/>
      </c>
      <c r="CJ12" s="51">
        <f>BC12/BC$2</f>
        <v/>
      </c>
      <c r="CK12" s="51">
        <f>BD12/BD$2</f>
        <v/>
      </c>
      <c r="CL12" s="51">
        <f>BE12/BE$2</f>
        <v/>
      </c>
      <c r="CM12" s="51">
        <f>BF12/BF$2</f>
        <v/>
      </c>
      <c r="CN12" s="51">
        <f>BG12/BG$2</f>
        <v/>
      </c>
      <c r="CO12" s="51">
        <f>BH12/BH$2</f>
        <v/>
      </c>
      <c r="CP12" s="51">
        <f>BI12/BI$2</f>
        <v/>
      </c>
      <c r="CQ12" s="51">
        <f>BJ12/BJ$2</f>
        <v/>
      </c>
      <c r="CR12" s="51">
        <f>BK12/BK$2</f>
        <v/>
      </c>
      <c r="CS12" s="51" t="n"/>
      <c r="CT12" s="51" t="n"/>
      <c r="CU12" s="23" t="n"/>
      <c r="CV12" s="13" t="inlineStr">
        <is>
          <t>FG</t>
        </is>
      </c>
      <c r="CW12" s="23" t="n">
        <v>0</v>
      </c>
      <c r="CY12" s="13" t="inlineStr">
        <is>
          <t>FG</t>
        </is>
      </c>
      <c r="CZ12" s="18">
        <f>CW12+B12</f>
        <v/>
      </c>
      <c r="DA12" s="18">
        <f>CZ12+C12</f>
        <v/>
      </c>
      <c r="DB12" s="18">
        <f>DA12+D12</f>
        <v/>
      </c>
      <c r="DC12" s="18">
        <f>DB12+E12</f>
        <v/>
      </c>
      <c r="DD12" s="18">
        <f>DC12+F12</f>
        <v/>
      </c>
      <c r="DE12" s="18">
        <f>DD12+G12</f>
        <v/>
      </c>
      <c r="DF12" s="18">
        <f>DE12+H12</f>
        <v/>
      </c>
      <c r="DG12" s="18">
        <f>DF12+I12</f>
        <v/>
      </c>
      <c r="DH12" s="18">
        <f>DG12+J12</f>
        <v/>
      </c>
      <c r="DI12" s="18">
        <f>DH12+K12</f>
        <v/>
      </c>
      <c r="DJ12" s="18">
        <f>DI12+L12</f>
        <v/>
      </c>
      <c r="DK12" s="18">
        <f>DJ12+M12</f>
        <v/>
      </c>
      <c r="DL12" s="18">
        <f>DK12+N12</f>
        <v/>
      </c>
      <c r="DM12" s="18">
        <f>DL12+O12</f>
        <v/>
      </c>
      <c r="DN12" s="18">
        <f>DM12+P12</f>
        <v/>
      </c>
      <c r="DO12" s="18">
        <f>DN12+Q12</f>
        <v/>
      </c>
      <c r="DP12" s="18">
        <f>DO12+R12</f>
        <v/>
      </c>
      <c r="DQ12" s="18">
        <f>DP12+S12</f>
        <v/>
      </c>
      <c r="DR12" s="18">
        <f>DQ12+T12</f>
        <v/>
      </c>
      <c r="DS12" s="18">
        <f>DR12+U12</f>
        <v/>
      </c>
      <c r="DT12" s="18">
        <f>DS12+V12</f>
        <v/>
      </c>
      <c r="DU12" s="18">
        <f>DT12+W12</f>
        <v/>
      </c>
      <c r="DV12" s="18">
        <f>DU12+X12</f>
        <v/>
      </c>
      <c r="DW12" s="18">
        <f>DV12+Y12</f>
        <v/>
      </c>
      <c r="DX12" s="18">
        <f>DW12+Z12</f>
        <v/>
      </c>
      <c r="DY12" s="18">
        <f>DX12+AA12</f>
        <v/>
      </c>
      <c r="DZ12" s="18">
        <f>DY12+AB12</f>
        <v/>
      </c>
      <c r="EA12" s="18">
        <f>DZ12+AC12</f>
        <v/>
      </c>
      <c r="EB12" s="18">
        <f>EA12+AD12</f>
        <v/>
      </c>
      <c r="EC12" s="18" t="n"/>
      <c r="ED12" s="18" t="n"/>
      <c r="EF12" s="13" t="inlineStr">
        <is>
          <t>FG</t>
        </is>
      </c>
      <c r="EG12" s="51">
        <f>CZ12/EG$2</f>
        <v/>
      </c>
      <c r="EH12" s="51">
        <f>DA12/EH$2</f>
        <v/>
      </c>
      <c r="EI12" s="51">
        <f>DB12/EI$2</f>
        <v/>
      </c>
      <c r="EJ12" s="51">
        <f>DC12/EJ$2</f>
        <v/>
      </c>
      <c r="EK12" s="51">
        <f>DD12/EK$2</f>
        <v/>
      </c>
      <c r="EL12" s="51">
        <f>DE12/EL$2</f>
        <v/>
      </c>
      <c r="EM12" s="51">
        <f>DF12/EM$2</f>
        <v/>
      </c>
      <c r="EN12" s="51">
        <f>DG12/EN$2</f>
        <v/>
      </c>
      <c r="EO12" s="51">
        <f>DH12/EO$2</f>
        <v/>
      </c>
      <c r="EP12" s="51">
        <f>DI12/EP$2</f>
        <v/>
      </c>
      <c r="EQ12" s="51">
        <f>DJ12/EQ$2</f>
        <v/>
      </c>
      <c r="ER12" s="51">
        <f>DK12/ER$2</f>
        <v/>
      </c>
      <c r="ES12" s="51">
        <f>DL12/ES$2</f>
        <v/>
      </c>
      <c r="ET12" s="51">
        <f>DM12/ET$2</f>
        <v/>
      </c>
      <c r="EU12" s="51">
        <f>DN12/EU$2</f>
        <v/>
      </c>
      <c r="EV12" s="51">
        <f>DO12/EV$2</f>
        <v/>
      </c>
      <c r="EW12" s="51">
        <f>DP12/EW$2</f>
        <v/>
      </c>
      <c r="EX12" s="51">
        <f>DQ12/EX$2</f>
        <v/>
      </c>
      <c r="EY12" s="51">
        <f>DR12/EY$2</f>
        <v/>
      </c>
      <c r="EZ12" s="51">
        <f>DS12/EZ$2</f>
        <v/>
      </c>
      <c r="FA12" s="51">
        <f>DT12/FA$2</f>
        <v/>
      </c>
      <c r="FB12" s="51">
        <f>DU12/FB$2</f>
        <v/>
      </c>
      <c r="FC12" s="51">
        <f>DV12/FC$2</f>
        <v/>
      </c>
      <c r="FD12" s="51">
        <f>DW12/FD$2</f>
        <v/>
      </c>
      <c r="FE12" s="51">
        <f>DX12/FE$2</f>
        <v/>
      </c>
      <c r="FF12" s="51">
        <f>DY12/FF$2</f>
        <v/>
      </c>
      <c r="FG12" s="51">
        <f>DZ12/FG$2</f>
        <v/>
      </c>
      <c r="FH12" s="51">
        <f>EA12/FH$2</f>
        <v/>
      </c>
      <c r="FI12" s="51">
        <f>EB12/FI$2</f>
        <v/>
      </c>
      <c r="FJ12" s="51" t="n"/>
      <c r="FK12" s="51" t="n"/>
    </row>
    <row r="13" ht="15.75" customHeight="1">
      <c r="A13" s="13" t="inlineStr">
        <is>
          <t>CHEM</t>
        </is>
      </c>
      <c r="B13" s="18">
        <f>'1'!$D15</f>
        <v/>
      </c>
      <c r="C13" s="18">
        <f>'2'!$D15</f>
        <v/>
      </c>
      <c r="D13" s="18">
        <f>'3'!$D15</f>
        <v/>
      </c>
      <c r="E13" s="18">
        <f>'4'!$D15</f>
        <v/>
      </c>
      <c r="F13" s="18">
        <f>'5'!$D15</f>
        <v/>
      </c>
      <c r="G13" s="18">
        <f>'6'!$D15</f>
        <v/>
      </c>
      <c r="H13" s="18">
        <f>'7'!$D15</f>
        <v/>
      </c>
      <c r="I13" s="18">
        <f>'8'!$D15</f>
        <v/>
      </c>
      <c r="J13" s="18">
        <f>'9'!$D15</f>
        <v/>
      </c>
      <c r="K13" s="18">
        <f>'10'!$D15</f>
        <v/>
      </c>
      <c r="L13" s="18">
        <f>'11'!$D15</f>
        <v/>
      </c>
      <c r="M13" s="18">
        <f>'12'!$D15</f>
        <v/>
      </c>
      <c r="N13" s="18">
        <f>'13'!$D15</f>
        <v/>
      </c>
      <c r="O13" s="18">
        <f>'14'!$D15</f>
        <v/>
      </c>
      <c r="P13" s="18">
        <f>'15'!$D15</f>
        <v/>
      </c>
      <c r="Q13" s="18">
        <f>'16'!$D15</f>
        <v/>
      </c>
      <c r="R13" s="18">
        <f>'17'!$D15</f>
        <v/>
      </c>
      <c r="S13" s="18">
        <f>'18'!$D15</f>
        <v/>
      </c>
      <c r="T13" s="18">
        <f>'19'!$D15</f>
        <v/>
      </c>
      <c r="U13" s="18">
        <f>'20'!$D15</f>
        <v/>
      </c>
      <c r="V13" s="18">
        <f>'21'!$D15</f>
        <v/>
      </c>
      <c r="W13" s="18">
        <f>'22'!$D15</f>
        <v/>
      </c>
      <c r="X13" s="18">
        <f>'23'!$D15</f>
        <v/>
      </c>
      <c r="Y13" s="18">
        <f>'24'!$D15</f>
        <v/>
      </c>
      <c r="Z13" s="18">
        <f>'25'!$D15</f>
        <v/>
      </c>
      <c r="AA13" s="18">
        <f>'26'!$D15</f>
        <v/>
      </c>
      <c r="AB13" s="18">
        <f>'27'!$D15</f>
        <v/>
      </c>
      <c r="AC13" s="18">
        <f>'28'!$D15</f>
        <v/>
      </c>
      <c r="AD13" s="18">
        <f>'29'!$D15</f>
        <v/>
      </c>
      <c r="AE13" s="18" t="n"/>
      <c r="AF13" s="22" t="n"/>
      <c r="AH13" s="13" t="inlineStr">
        <is>
          <t>CHEM</t>
        </is>
      </c>
      <c r="AI13" s="18">
        <f>B13</f>
        <v/>
      </c>
      <c r="AJ13" s="18">
        <f>AI13+C13</f>
        <v/>
      </c>
      <c r="AK13" s="18">
        <f>AJ13+D13</f>
        <v/>
      </c>
      <c r="AL13" s="18">
        <f>AK13+E13</f>
        <v/>
      </c>
      <c r="AM13" s="18">
        <f>AL13+F13</f>
        <v/>
      </c>
      <c r="AN13" s="18">
        <f>AM13+G13</f>
        <v/>
      </c>
      <c r="AO13" s="18">
        <f>AN13+H13</f>
        <v/>
      </c>
      <c r="AP13" s="18">
        <f>AO13+I13</f>
        <v/>
      </c>
      <c r="AQ13" s="18">
        <f>AP13+J13</f>
        <v/>
      </c>
      <c r="AR13" s="18">
        <f>AQ13+K13</f>
        <v/>
      </c>
      <c r="AS13" s="18">
        <f>AR13+L13</f>
        <v/>
      </c>
      <c r="AT13" s="18">
        <f>AS13+M13</f>
        <v/>
      </c>
      <c r="AU13" s="18">
        <f>AT13+N13</f>
        <v/>
      </c>
      <c r="AV13" s="18">
        <f>AU13+O13</f>
        <v/>
      </c>
      <c r="AW13" s="18">
        <f>AV13+P13</f>
        <v/>
      </c>
      <c r="AX13" s="18">
        <f>AW13+Q13</f>
        <v/>
      </c>
      <c r="AY13" s="18">
        <f>AX13+R13</f>
        <v/>
      </c>
      <c r="AZ13" s="18">
        <f>AY13+S13</f>
        <v/>
      </c>
      <c r="BA13" s="18">
        <f>AZ13+T13</f>
        <v/>
      </c>
      <c r="BB13" s="18">
        <f>BA13+U13</f>
        <v/>
      </c>
      <c r="BC13" s="18">
        <f>BB13+V13</f>
        <v/>
      </c>
      <c r="BD13" s="18">
        <f>BC13+W13</f>
        <v/>
      </c>
      <c r="BE13" s="18">
        <f>BD13+X13</f>
        <v/>
      </c>
      <c r="BF13" s="18">
        <f>BE13+Y13</f>
        <v/>
      </c>
      <c r="BG13" s="18">
        <f>BF13+Z13</f>
        <v/>
      </c>
      <c r="BH13" s="18">
        <f>BG13+AA13</f>
        <v/>
      </c>
      <c r="BI13" s="18">
        <f>BH13+AB13</f>
        <v/>
      </c>
      <c r="BJ13" s="18">
        <f>BI13+AC13</f>
        <v/>
      </c>
      <c r="BK13" s="18">
        <f>BJ13+AD13</f>
        <v/>
      </c>
      <c r="BL13" s="18" t="n"/>
      <c r="BM13" s="18" t="n"/>
      <c r="BO13" s="13" t="inlineStr">
        <is>
          <t>CHEM</t>
        </is>
      </c>
      <c r="BP13" s="51">
        <f>AI13/AI$2</f>
        <v/>
      </c>
      <c r="BQ13" s="51">
        <f>AJ13/AJ$2</f>
        <v/>
      </c>
      <c r="BR13" s="51">
        <f>AK13/AK$2</f>
        <v/>
      </c>
      <c r="BS13" s="51">
        <f>AL13/AL$2</f>
        <v/>
      </c>
      <c r="BT13" s="51">
        <f>AM13/AM$2</f>
        <v/>
      </c>
      <c r="BU13" s="51">
        <f>AN13/AN$2</f>
        <v/>
      </c>
      <c r="BV13" s="51">
        <f>AO13/AO$2</f>
        <v/>
      </c>
      <c r="BW13" s="51">
        <f>AP13/AP$2</f>
        <v/>
      </c>
      <c r="BX13" s="51">
        <f>AQ13/AQ$2</f>
        <v/>
      </c>
      <c r="BY13" s="51">
        <f>AR13/AR$2</f>
        <v/>
      </c>
      <c r="BZ13" s="51">
        <f>AS13/AS$2</f>
        <v/>
      </c>
      <c r="CA13" s="51">
        <f>AT13/AT$2</f>
        <v/>
      </c>
      <c r="CB13" s="51">
        <f>AU13/AU$2</f>
        <v/>
      </c>
      <c r="CC13" s="51">
        <f>AV13/AV$2</f>
        <v/>
      </c>
      <c r="CD13" s="51">
        <f>AW13/AW$2</f>
        <v/>
      </c>
      <c r="CE13" s="51">
        <f>AX13/AX$2</f>
        <v/>
      </c>
      <c r="CF13" s="51">
        <f>AY13/AY$2</f>
        <v/>
      </c>
      <c r="CG13" s="51">
        <f>AZ13/AZ$2</f>
        <v/>
      </c>
      <c r="CH13" s="51">
        <f>BA13/BA$2</f>
        <v/>
      </c>
      <c r="CI13" s="51">
        <f>BB13/BB$2</f>
        <v/>
      </c>
      <c r="CJ13" s="51">
        <f>BC13/BC$2</f>
        <v/>
      </c>
      <c r="CK13" s="51">
        <f>BD13/BD$2</f>
        <v/>
      </c>
      <c r="CL13" s="51">
        <f>BE13/BE$2</f>
        <v/>
      </c>
      <c r="CM13" s="51">
        <f>BF13/BF$2</f>
        <v/>
      </c>
      <c r="CN13" s="51">
        <f>BG13/BG$2</f>
        <v/>
      </c>
      <c r="CO13" s="51">
        <f>BH13/BH$2</f>
        <v/>
      </c>
      <c r="CP13" s="51">
        <f>BI13/BI$2</f>
        <v/>
      </c>
      <c r="CQ13" s="51">
        <f>BJ13/BJ$2</f>
        <v/>
      </c>
      <c r="CR13" s="51">
        <f>BK13/BK$2</f>
        <v/>
      </c>
      <c r="CS13" s="51" t="n"/>
      <c r="CT13" s="51" t="n"/>
      <c r="CU13" s="23" t="n"/>
      <c r="CV13" s="13" t="inlineStr">
        <is>
          <t>CHEM</t>
        </is>
      </c>
      <c r="CW13" s="23" t="n">
        <v>0</v>
      </c>
      <c r="CY13" s="13" t="inlineStr">
        <is>
          <t>CHEM</t>
        </is>
      </c>
      <c r="CZ13" s="18">
        <f>CW13+B13</f>
        <v/>
      </c>
      <c r="DA13" s="18">
        <f>CZ13+C13</f>
        <v/>
      </c>
      <c r="DB13" s="18">
        <f>DA13+D13</f>
        <v/>
      </c>
      <c r="DC13" s="18">
        <f>DB13+E13</f>
        <v/>
      </c>
      <c r="DD13" s="18">
        <f>DC13+F13</f>
        <v/>
      </c>
      <c r="DE13" s="18">
        <f>DD13+G13</f>
        <v/>
      </c>
      <c r="DF13" s="18">
        <f>DE13+H13</f>
        <v/>
      </c>
      <c r="DG13" s="18">
        <f>DF13+I13</f>
        <v/>
      </c>
      <c r="DH13" s="18">
        <f>DG13+J13</f>
        <v/>
      </c>
      <c r="DI13" s="18">
        <f>DH13+K13</f>
        <v/>
      </c>
      <c r="DJ13" s="18">
        <f>DI13+L13</f>
        <v/>
      </c>
      <c r="DK13" s="18">
        <f>DJ13+M13</f>
        <v/>
      </c>
      <c r="DL13" s="18">
        <f>DK13+N13</f>
        <v/>
      </c>
      <c r="DM13" s="18">
        <f>DL13+O13</f>
        <v/>
      </c>
      <c r="DN13" s="18">
        <f>DM13+P13</f>
        <v/>
      </c>
      <c r="DO13" s="18">
        <f>DN13+Q13</f>
        <v/>
      </c>
      <c r="DP13" s="18">
        <f>DO13+R13</f>
        <v/>
      </c>
      <c r="DQ13" s="18">
        <f>DP13+S13</f>
        <v/>
      </c>
      <c r="DR13" s="18">
        <f>DQ13+T13</f>
        <v/>
      </c>
      <c r="DS13" s="18">
        <f>DR13+U13</f>
        <v/>
      </c>
      <c r="DT13" s="18">
        <f>DS13+V13</f>
        <v/>
      </c>
      <c r="DU13" s="18">
        <f>DT13+W13</f>
        <v/>
      </c>
      <c r="DV13" s="18">
        <f>DU13+X13</f>
        <v/>
      </c>
      <c r="DW13" s="18">
        <f>DV13+Y13</f>
        <v/>
      </c>
      <c r="DX13" s="18">
        <f>DW13+Z13</f>
        <v/>
      </c>
      <c r="DY13" s="18">
        <f>DX13+AA13</f>
        <v/>
      </c>
      <c r="DZ13" s="18">
        <f>DY13+AB13</f>
        <v/>
      </c>
      <c r="EA13" s="18">
        <f>DZ13+AC13</f>
        <v/>
      </c>
      <c r="EB13" s="18">
        <f>EA13+AD13</f>
        <v/>
      </c>
      <c r="EC13" s="18" t="n"/>
      <c r="ED13" s="18" t="n"/>
      <c r="EF13" s="13" t="inlineStr">
        <is>
          <t>CHEM</t>
        </is>
      </c>
      <c r="EG13" s="51">
        <f>CZ13/EG$2</f>
        <v/>
      </c>
      <c r="EH13" s="51">
        <f>DA13/EH$2</f>
        <v/>
      </c>
      <c r="EI13" s="51">
        <f>DB13/EI$2</f>
        <v/>
      </c>
      <c r="EJ13" s="51">
        <f>DC13/EJ$2</f>
        <v/>
      </c>
      <c r="EK13" s="51">
        <f>DD13/EK$2</f>
        <v/>
      </c>
      <c r="EL13" s="51">
        <f>DE13/EL$2</f>
        <v/>
      </c>
      <c r="EM13" s="51">
        <f>DF13/EM$2</f>
        <v/>
      </c>
      <c r="EN13" s="51">
        <f>DG13/EN$2</f>
        <v/>
      </c>
      <c r="EO13" s="51">
        <f>DH13/EO$2</f>
        <v/>
      </c>
      <c r="EP13" s="51">
        <f>DI13/EP$2</f>
        <v/>
      </c>
      <c r="EQ13" s="51">
        <f>DJ13/EQ$2</f>
        <v/>
      </c>
      <c r="ER13" s="51">
        <f>DK13/ER$2</f>
        <v/>
      </c>
      <c r="ES13" s="51">
        <f>DL13/ES$2</f>
        <v/>
      </c>
      <c r="ET13" s="51">
        <f>DM13/ET$2</f>
        <v/>
      </c>
      <c r="EU13" s="51">
        <f>DN13/EU$2</f>
        <v/>
      </c>
      <c r="EV13" s="51">
        <f>DO13/EV$2</f>
        <v/>
      </c>
      <c r="EW13" s="51">
        <f>DP13/EW$2</f>
        <v/>
      </c>
      <c r="EX13" s="51">
        <f>DQ13/EX$2</f>
        <v/>
      </c>
      <c r="EY13" s="51">
        <f>DR13/EY$2</f>
        <v/>
      </c>
      <c r="EZ13" s="51">
        <f>DS13/EZ$2</f>
        <v/>
      </c>
      <c r="FA13" s="51">
        <f>DT13/FA$2</f>
        <v/>
      </c>
      <c r="FB13" s="51">
        <f>DU13/FB$2</f>
        <v/>
      </c>
      <c r="FC13" s="51">
        <f>DV13/FC$2</f>
        <v/>
      </c>
      <c r="FD13" s="51">
        <f>DW13/FD$2</f>
        <v/>
      </c>
      <c r="FE13" s="51">
        <f>DX13/FE$2</f>
        <v/>
      </c>
      <c r="FF13" s="51">
        <f>DY13/FF$2</f>
        <v/>
      </c>
      <c r="FG13" s="51">
        <f>DZ13/FG$2</f>
        <v/>
      </c>
      <c r="FH13" s="51">
        <f>EA13/FH$2</f>
        <v/>
      </c>
      <c r="FI13" s="51">
        <f>EB13/FI$2</f>
        <v/>
      </c>
      <c r="FJ13" s="51" t="n"/>
      <c r="FK13" s="51" t="n"/>
    </row>
    <row r="14" ht="15.75" customHeight="1">
      <c r="A14" s="13" t="inlineStr">
        <is>
          <t>AUTO</t>
        </is>
      </c>
      <c r="B14" s="18">
        <f>'1'!$D16</f>
        <v/>
      </c>
      <c r="C14" s="18">
        <f>'2'!$D16</f>
        <v/>
      </c>
      <c r="D14" s="18">
        <f>'3'!$D16</f>
        <v/>
      </c>
      <c r="E14" s="18">
        <f>'4'!$D16</f>
        <v/>
      </c>
      <c r="F14" s="18">
        <f>'5'!$D16</f>
        <v/>
      </c>
      <c r="G14" s="18">
        <f>'6'!$D16</f>
        <v/>
      </c>
      <c r="H14" s="18">
        <f>'7'!$D16</f>
        <v/>
      </c>
      <c r="I14" s="18">
        <f>'8'!$D16</f>
        <v/>
      </c>
      <c r="J14" s="18">
        <f>'9'!$D16</f>
        <v/>
      </c>
      <c r="K14" s="18">
        <f>'10'!$D16</f>
        <v/>
      </c>
      <c r="L14" s="18">
        <f>'11'!$D16</f>
        <v/>
      </c>
      <c r="M14" s="18">
        <f>'12'!$D16</f>
        <v/>
      </c>
      <c r="N14" s="18">
        <f>'13'!$D16</f>
        <v/>
      </c>
      <c r="O14" s="18">
        <f>'14'!$D16</f>
        <v/>
      </c>
      <c r="P14" s="18">
        <f>'15'!$D16</f>
        <v/>
      </c>
      <c r="Q14" s="18">
        <f>'16'!$D16</f>
        <v/>
      </c>
      <c r="R14" s="18">
        <f>'17'!$D16</f>
        <v/>
      </c>
      <c r="S14" s="18">
        <f>'18'!$D16</f>
        <v/>
      </c>
      <c r="T14" s="18">
        <f>'19'!$D16</f>
        <v/>
      </c>
      <c r="U14" s="18">
        <f>'20'!$D16</f>
        <v/>
      </c>
      <c r="V14" s="18">
        <f>'21'!$D16</f>
        <v/>
      </c>
      <c r="W14" s="18">
        <f>'22'!$D16</f>
        <v/>
      </c>
      <c r="X14" s="18">
        <f>'23'!$D16</f>
        <v/>
      </c>
      <c r="Y14" s="18">
        <f>'24'!$D16</f>
        <v/>
      </c>
      <c r="Z14" s="18">
        <f>'25'!$D16</f>
        <v/>
      </c>
      <c r="AA14" s="18">
        <f>'26'!$D16</f>
        <v/>
      </c>
      <c r="AB14" s="18">
        <f>'27'!$D16</f>
        <v/>
      </c>
      <c r="AC14" s="18">
        <f>'28'!$D16</f>
        <v/>
      </c>
      <c r="AD14" s="18">
        <f>'29'!$D16</f>
        <v/>
      </c>
      <c r="AE14" s="18" t="n"/>
      <c r="AF14" s="22" t="n"/>
      <c r="AH14" s="13" t="inlineStr">
        <is>
          <t>AUTO</t>
        </is>
      </c>
      <c r="AI14" s="18">
        <f>B14</f>
        <v/>
      </c>
      <c r="AJ14" s="18">
        <f>AI14+C14</f>
        <v/>
      </c>
      <c r="AK14" s="18">
        <f>AJ14+D14</f>
        <v/>
      </c>
      <c r="AL14" s="18">
        <f>AK14+E14</f>
        <v/>
      </c>
      <c r="AM14" s="18">
        <f>AL14+F14</f>
        <v/>
      </c>
      <c r="AN14" s="18">
        <f>AM14+G14</f>
        <v/>
      </c>
      <c r="AO14" s="18">
        <f>AN14+H14</f>
        <v/>
      </c>
      <c r="AP14" s="18">
        <f>AO14+I14</f>
        <v/>
      </c>
      <c r="AQ14" s="18">
        <f>AP14+J14</f>
        <v/>
      </c>
      <c r="AR14" s="18">
        <f>AQ14+K14</f>
        <v/>
      </c>
      <c r="AS14" s="18">
        <f>AR14+L14</f>
        <v/>
      </c>
      <c r="AT14" s="18">
        <f>AS14+M14</f>
        <v/>
      </c>
      <c r="AU14" s="18">
        <f>AT14+N14</f>
        <v/>
      </c>
      <c r="AV14" s="18">
        <f>AU14+O14</f>
        <v/>
      </c>
      <c r="AW14" s="18">
        <f>AV14+P14</f>
        <v/>
      </c>
      <c r="AX14" s="18">
        <f>AW14+Q14</f>
        <v/>
      </c>
      <c r="AY14" s="18">
        <f>AX14+R14</f>
        <v/>
      </c>
      <c r="AZ14" s="18">
        <f>AY14+S14</f>
        <v/>
      </c>
      <c r="BA14" s="18">
        <f>AZ14+T14</f>
        <v/>
      </c>
      <c r="BB14" s="18">
        <f>BA14+U14</f>
        <v/>
      </c>
      <c r="BC14" s="18">
        <f>BB14+V14</f>
        <v/>
      </c>
      <c r="BD14" s="18">
        <f>BC14+W14</f>
        <v/>
      </c>
      <c r="BE14" s="18">
        <f>BD14+X14</f>
        <v/>
      </c>
      <c r="BF14" s="18">
        <f>BE14+Y14</f>
        <v/>
      </c>
      <c r="BG14" s="18">
        <f>BF14+Z14</f>
        <v/>
      </c>
      <c r="BH14" s="18">
        <f>BG14+AA14</f>
        <v/>
      </c>
      <c r="BI14" s="18">
        <f>BH14+AB14</f>
        <v/>
      </c>
      <c r="BJ14" s="18">
        <f>BI14+AC14</f>
        <v/>
      </c>
      <c r="BK14" s="18">
        <f>BJ14+AD14</f>
        <v/>
      </c>
      <c r="BL14" s="18" t="n"/>
      <c r="BM14" s="18" t="n"/>
      <c r="BO14" s="13" t="inlineStr">
        <is>
          <t>AUTO</t>
        </is>
      </c>
      <c r="BP14" s="51">
        <f>AI14/AI$2</f>
        <v/>
      </c>
      <c r="BQ14" s="51">
        <f>AJ14/AJ$2</f>
        <v/>
      </c>
      <c r="BR14" s="51">
        <f>AK14/AK$2</f>
        <v/>
      </c>
      <c r="BS14" s="51">
        <f>AL14/AL$2</f>
        <v/>
      </c>
      <c r="BT14" s="51">
        <f>AM14/AM$2</f>
        <v/>
      </c>
      <c r="BU14" s="51">
        <f>AN14/AN$2</f>
        <v/>
      </c>
      <c r="BV14" s="51">
        <f>AO14/AO$2</f>
        <v/>
      </c>
      <c r="BW14" s="51">
        <f>AP14/AP$2</f>
        <v/>
      </c>
      <c r="BX14" s="51">
        <f>AQ14/AQ$2</f>
        <v/>
      </c>
      <c r="BY14" s="51">
        <f>AR14/AR$2</f>
        <v/>
      </c>
      <c r="BZ14" s="51">
        <f>AS14/AS$2</f>
        <v/>
      </c>
      <c r="CA14" s="51">
        <f>AT14/AT$2</f>
        <v/>
      </c>
      <c r="CB14" s="51">
        <f>AU14/AU$2</f>
        <v/>
      </c>
      <c r="CC14" s="51">
        <f>AV14/AV$2</f>
        <v/>
      </c>
      <c r="CD14" s="51">
        <f>AW14/AW$2</f>
        <v/>
      </c>
      <c r="CE14" s="51">
        <f>AX14/AX$2</f>
        <v/>
      </c>
      <c r="CF14" s="51">
        <f>AY14/AY$2</f>
        <v/>
      </c>
      <c r="CG14" s="51">
        <f>AZ14/AZ$2</f>
        <v/>
      </c>
      <c r="CH14" s="51">
        <f>BA14/BA$2</f>
        <v/>
      </c>
      <c r="CI14" s="51">
        <f>BB14/BB$2</f>
        <v/>
      </c>
      <c r="CJ14" s="51">
        <f>BC14/BC$2</f>
        <v/>
      </c>
      <c r="CK14" s="51">
        <f>BD14/BD$2</f>
        <v/>
      </c>
      <c r="CL14" s="51">
        <f>BE14/BE$2</f>
        <v/>
      </c>
      <c r="CM14" s="51">
        <f>BF14/BF$2</f>
        <v/>
      </c>
      <c r="CN14" s="51">
        <f>BG14/BG$2</f>
        <v/>
      </c>
      <c r="CO14" s="51">
        <f>BH14/BH$2</f>
        <v/>
      </c>
      <c r="CP14" s="51">
        <f>BI14/BI$2</f>
        <v/>
      </c>
      <c r="CQ14" s="51">
        <f>BJ14/BJ$2</f>
        <v/>
      </c>
      <c r="CR14" s="51">
        <f>BK14/BK$2</f>
        <v/>
      </c>
      <c r="CS14" s="51" t="n"/>
      <c r="CT14" s="51" t="n"/>
      <c r="CU14" s="23" t="n"/>
      <c r="CV14" s="13" t="inlineStr">
        <is>
          <t>AUTO</t>
        </is>
      </c>
      <c r="CW14" s="23" t="n">
        <v>0</v>
      </c>
      <c r="CY14" s="13" t="inlineStr">
        <is>
          <t>AUTO</t>
        </is>
      </c>
      <c r="CZ14" s="18">
        <f>CW14+B14</f>
        <v/>
      </c>
      <c r="DA14" s="18">
        <f>CZ14+C14</f>
        <v/>
      </c>
      <c r="DB14" s="18">
        <f>DA14+D14</f>
        <v/>
      </c>
      <c r="DC14" s="18">
        <f>DB14+E14</f>
        <v/>
      </c>
      <c r="DD14" s="18">
        <f>DC14+F14</f>
        <v/>
      </c>
      <c r="DE14" s="18">
        <f>DD14+G14</f>
        <v/>
      </c>
      <c r="DF14" s="18">
        <f>DE14+H14</f>
        <v/>
      </c>
      <c r="DG14" s="18">
        <f>DF14+I14</f>
        <v/>
      </c>
      <c r="DH14" s="18">
        <f>DG14+J14</f>
        <v/>
      </c>
      <c r="DI14" s="18">
        <f>DH14+K14</f>
        <v/>
      </c>
      <c r="DJ14" s="18">
        <f>DI14+L14</f>
        <v/>
      </c>
      <c r="DK14" s="18">
        <f>DJ14+M14</f>
        <v/>
      </c>
      <c r="DL14" s="18">
        <f>DK14+N14</f>
        <v/>
      </c>
      <c r="DM14" s="18">
        <f>DL14+O14</f>
        <v/>
      </c>
      <c r="DN14" s="18">
        <f>DM14+P14</f>
        <v/>
      </c>
      <c r="DO14" s="18">
        <f>DN14+Q14</f>
        <v/>
      </c>
      <c r="DP14" s="18">
        <f>DO14+R14</f>
        <v/>
      </c>
      <c r="DQ14" s="18">
        <f>DP14+S14</f>
        <v/>
      </c>
      <c r="DR14" s="18">
        <f>DQ14+T14</f>
        <v/>
      </c>
      <c r="DS14" s="18">
        <f>DR14+U14</f>
        <v/>
      </c>
      <c r="DT14" s="18">
        <f>DS14+V14</f>
        <v/>
      </c>
      <c r="DU14" s="18">
        <f>DT14+W14</f>
        <v/>
      </c>
      <c r="DV14" s="18">
        <f>DU14+X14</f>
        <v/>
      </c>
      <c r="DW14" s="18">
        <f>DV14+Y14</f>
        <v/>
      </c>
      <c r="DX14" s="18">
        <f>DW14+Z14</f>
        <v/>
      </c>
      <c r="DY14" s="18">
        <f>DX14+AA14</f>
        <v/>
      </c>
      <c r="DZ14" s="18">
        <f>DY14+AB14</f>
        <v/>
      </c>
      <c r="EA14" s="18">
        <f>DZ14+AC14</f>
        <v/>
      </c>
      <c r="EB14" s="18">
        <f>EA14+AD14</f>
        <v/>
      </c>
      <c r="EC14" s="18" t="n"/>
      <c r="ED14" s="18" t="n"/>
      <c r="EF14" s="13" t="inlineStr">
        <is>
          <t>AUTO</t>
        </is>
      </c>
      <c r="EG14" s="51">
        <f>CZ14/EG$2</f>
        <v/>
      </c>
      <c r="EH14" s="51">
        <f>DA14/EH$2</f>
        <v/>
      </c>
      <c r="EI14" s="51">
        <f>DB14/EI$2</f>
        <v/>
      </c>
      <c r="EJ14" s="51">
        <f>DC14/EJ$2</f>
        <v/>
      </c>
      <c r="EK14" s="51">
        <f>DD14/EK$2</f>
        <v/>
      </c>
      <c r="EL14" s="51">
        <f>DE14/EL$2</f>
        <v/>
      </c>
      <c r="EM14" s="51">
        <f>DF14/EM$2</f>
        <v/>
      </c>
      <c r="EN14" s="51">
        <f>DG14/EN$2</f>
        <v/>
      </c>
      <c r="EO14" s="51">
        <f>DH14/EO$2</f>
        <v/>
      </c>
      <c r="EP14" s="51">
        <f>DI14/EP$2</f>
        <v/>
      </c>
      <c r="EQ14" s="51">
        <f>DJ14/EQ$2</f>
        <v/>
      </c>
      <c r="ER14" s="51">
        <f>DK14/ER$2</f>
        <v/>
      </c>
      <c r="ES14" s="51">
        <f>DL14/ES$2</f>
        <v/>
      </c>
      <c r="ET14" s="51">
        <f>DM14/ET$2</f>
        <v/>
      </c>
      <c r="EU14" s="51">
        <f>DN14/EU$2</f>
        <v/>
      </c>
      <c r="EV14" s="51">
        <f>DO14/EV$2</f>
        <v/>
      </c>
      <c r="EW14" s="51">
        <f>DP14/EW$2</f>
        <v/>
      </c>
      <c r="EX14" s="51">
        <f>DQ14/EX$2</f>
        <v/>
      </c>
      <c r="EY14" s="51">
        <f>DR14/EY$2</f>
        <v/>
      </c>
      <c r="EZ14" s="51">
        <f>DS14/EZ$2</f>
        <v/>
      </c>
      <c r="FA14" s="51">
        <f>DT14/FA$2</f>
        <v/>
      </c>
      <c r="FB14" s="51">
        <f>DU14/FB$2</f>
        <v/>
      </c>
      <c r="FC14" s="51">
        <f>DV14/FC$2</f>
        <v/>
      </c>
      <c r="FD14" s="51">
        <f>DW14/FD$2</f>
        <v/>
      </c>
      <c r="FE14" s="51">
        <f>DX14/FE$2</f>
        <v/>
      </c>
      <c r="FF14" s="51">
        <f>DY14/FF$2</f>
        <v/>
      </c>
      <c r="FG14" s="51">
        <f>DZ14/FG$2</f>
        <v/>
      </c>
      <c r="FH14" s="51">
        <f>EA14/FH$2</f>
        <v/>
      </c>
      <c r="FI14" s="51">
        <f>EB14/FI$2</f>
        <v/>
      </c>
      <c r="FJ14" s="51" t="n"/>
      <c r="FK14" s="51" t="n"/>
    </row>
    <row r="15" ht="16.5" customHeight="1" thickBot="1">
      <c r="A15" s="19" t="inlineStr">
        <is>
          <t>OTHERS</t>
        </is>
      </c>
      <c r="B15" s="18">
        <f>'1'!$D17</f>
        <v/>
      </c>
      <c r="C15" s="18">
        <f>'2'!$D17</f>
        <v/>
      </c>
      <c r="D15" s="18">
        <f>'3'!$D17</f>
        <v/>
      </c>
      <c r="E15" s="18">
        <f>'4'!$D17</f>
        <v/>
      </c>
      <c r="F15" s="18">
        <f>'5'!$D17</f>
        <v/>
      </c>
      <c r="G15" s="18">
        <f>'6'!$D17</f>
        <v/>
      </c>
      <c r="H15" s="18">
        <f>'7'!$D17</f>
        <v/>
      </c>
      <c r="I15" s="18">
        <f>'8'!$D17</f>
        <v/>
      </c>
      <c r="J15" s="18">
        <f>'9'!$D17</f>
        <v/>
      </c>
      <c r="K15" s="18">
        <f>'10'!$D17</f>
        <v/>
      </c>
      <c r="L15" s="18">
        <f>'11'!$D17</f>
        <v/>
      </c>
      <c r="M15" s="18">
        <f>'12'!$D17</f>
        <v/>
      </c>
      <c r="N15" s="18">
        <f>'13'!$D17</f>
        <v/>
      </c>
      <c r="O15" s="18">
        <f>'14'!$D17</f>
        <v/>
      </c>
      <c r="P15" s="18">
        <f>'15'!$D17</f>
        <v/>
      </c>
      <c r="Q15" s="18">
        <f>'16'!$D17</f>
        <v/>
      </c>
      <c r="R15" s="18">
        <f>'17'!$D17</f>
        <v/>
      </c>
      <c r="S15" s="18">
        <f>'18'!$D17</f>
        <v/>
      </c>
      <c r="T15" s="18">
        <f>'19'!$D17</f>
        <v/>
      </c>
      <c r="U15" s="18">
        <f>'20'!$D17</f>
        <v/>
      </c>
      <c r="V15" s="18">
        <f>'21'!$D17</f>
        <v/>
      </c>
      <c r="W15" s="18">
        <f>'22'!$D17</f>
        <v/>
      </c>
      <c r="X15" s="18">
        <f>'23'!$D17</f>
        <v/>
      </c>
      <c r="Y15" s="18">
        <f>'24'!$D17</f>
        <v/>
      </c>
      <c r="Z15" s="18">
        <f>'25'!$D17</f>
        <v/>
      </c>
      <c r="AA15" s="18">
        <f>'26'!$D17</f>
        <v/>
      </c>
      <c r="AB15" s="18">
        <f>'27'!$D17</f>
        <v/>
      </c>
      <c r="AC15" s="18">
        <f>'28'!$D17</f>
        <v/>
      </c>
      <c r="AD15" s="18">
        <f>'29'!$D17</f>
        <v/>
      </c>
      <c r="AE15" s="18" t="n"/>
      <c r="AF15" s="22" t="n"/>
      <c r="AH15" s="19" t="inlineStr">
        <is>
          <t>OTHERS</t>
        </is>
      </c>
      <c r="AI15" s="18">
        <f>B15</f>
        <v/>
      </c>
      <c r="AJ15" s="18">
        <f>AI15+C15</f>
        <v/>
      </c>
      <c r="AK15" s="18">
        <f>AJ15+D15</f>
        <v/>
      </c>
      <c r="AL15" s="18">
        <f>AK15+E15</f>
        <v/>
      </c>
      <c r="AM15" s="18">
        <f>AL15+F15</f>
        <v/>
      </c>
      <c r="AN15" s="18">
        <f>AM15+G15</f>
        <v/>
      </c>
      <c r="AO15" s="18">
        <f>AN15+H15</f>
        <v/>
      </c>
      <c r="AP15" s="18">
        <f>AO15+I15</f>
        <v/>
      </c>
      <c r="AQ15" s="18">
        <f>AP15+J15</f>
        <v/>
      </c>
      <c r="AR15" s="18">
        <f>AQ15+K15</f>
        <v/>
      </c>
      <c r="AS15" s="18">
        <f>AR15+L15</f>
        <v/>
      </c>
      <c r="AT15" s="18">
        <f>AS15+M15</f>
        <v/>
      </c>
      <c r="AU15" s="18">
        <f>AT15+N15</f>
        <v/>
      </c>
      <c r="AV15" s="18">
        <f>AU15+O15</f>
        <v/>
      </c>
      <c r="AW15" s="18">
        <f>AV15+P15</f>
        <v/>
      </c>
      <c r="AX15" s="18">
        <f>AW15+Q15</f>
        <v/>
      </c>
      <c r="AY15" s="18">
        <f>AX15+R15</f>
        <v/>
      </c>
      <c r="AZ15" s="18">
        <f>AY15+S15</f>
        <v/>
      </c>
      <c r="BA15" s="18">
        <f>AZ15+T15</f>
        <v/>
      </c>
      <c r="BB15" s="18">
        <f>BA15+U15</f>
        <v/>
      </c>
      <c r="BC15" s="18">
        <f>BB15+V15</f>
        <v/>
      </c>
      <c r="BD15" s="18">
        <f>BC15+W15</f>
        <v/>
      </c>
      <c r="BE15" s="18">
        <f>BD15+X15</f>
        <v/>
      </c>
      <c r="BF15" s="18">
        <f>BE15+Y15</f>
        <v/>
      </c>
      <c r="BG15" s="18">
        <f>BF15+Z15</f>
        <v/>
      </c>
      <c r="BH15" s="18">
        <f>BG15+AA15</f>
        <v/>
      </c>
      <c r="BI15" s="18">
        <f>BH15+AB15</f>
        <v/>
      </c>
      <c r="BJ15" s="18">
        <f>BI15+AC15</f>
        <v/>
      </c>
      <c r="BK15" s="18">
        <f>BJ15+AD15</f>
        <v/>
      </c>
      <c r="BL15" s="18" t="n"/>
      <c r="BM15" s="18" t="n"/>
      <c r="BO15" s="19" t="inlineStr">
        <is>
          <t>OTHERS</t>
        </is>
      </c>
      <c r="BP15" s="51">
        <f>AI15/AI$2</f>
        <v/>
      </c>
      <c r="BQ15" s="51">
        <f>AJ15/AJ$2</f>
        <v/>
      </c>
      <c r="BR15" s="51">
        <f>AK15/AK$2</f>
        <v/>
      </c>
      <c r="BS15" s="51">
        <f>AL15/AL$2</f>
        <v/>
      </c>
      <c r="BT15" s="51">
        <f>AM15/AM$2</f>
        <v/>
      </c>
      <c r="BU15" s="51">
        <f>AN15/AN$2</f>
        <v/>
      </c>
      <c r="BV15" s="51">
        <f>AO15/AO$2</f>
        <v/>
      </c>
      <c r="BW15" s="51">
        <f>AP15/AP$2</f>
        <v/>
      </c>
      <c r="BX15" s="51">
        <f>AQ15/AQ$2</f>
        <v/>
      </c>
      <c r="BY15" s="51">
        <f>AR15/AR$2</f>
        <v/>
      </c>
      <c r="BZ15" s="51">
        <f>AS15/AS$2</f>
        <v/>
      </c>
      <c r="CA15" s="51">
        <f>AT15/AT$2</f>
        <v/>
      </c>
      <c r="CB15" s="51">
        <f>AU15/AU$2</f>
        <v/>
      </c>
      <c r="CC15" s="51">
        <f>AV15/AV$2</f>
        <v/>
      </c>
      <c r="CD15" s="51">
        <f>AW15/AW$2</f>
        <v/>
      </c>
      <c r="CE15" s="51">
        <f>AX15/AX$2</f>
        <v/>
      </c>
      <c r="CF15" s="51">
        <f>AY15/AY$2</f>
        <v/>
      </c>
      <c r="CG15" s="51">
        <f>AZ15/AZ$2</f>
        <v/>
      </c>
      <c r="CH15" s="51">
        <f>BA15/BA$2</f>
        <v/>
      </c>
      <c r="CI15" s="51">
        <f>BB15/BB$2</f>
        <v/>
      </c>
      <c r="CJ15" s="51">
        <f>BC15/BC$2</f>
        <v/>
      </c>
      <c r="CK15" s="51">
        <f>BD15/BD$2</f>
        <v/>
      </c>
      <c r="CL15" s="51">
        <f>BE15/BE$2</f>
        <v/>
      </c>
      <c r="CM15" s="51">
        <f>BF15/BF$2</f>
        <v/>
      </c>
      <c r="CN15" s="51">
        <f>BG15/BG$2</f>
        <v/>
      </c>
      <c r="CO15" s="51">
        <f>BH15/BH$2</f>
        <v/>
      </c>
      <c r="CP15" s="51">
        <f>BI15/BI$2</f>
        <v/>
      </c>
      <c r="CQ15" s="51">
        <f>BJ15/BJ$2</f>
        <v/>
      </c>
      <c r="CR15" s="51">
        <f>BK15/BK$2</f>
        <v/>
      </c>
      <c r="CS15" s="51" t="n"/>
      <c r="CT15" s="51" t="n"/>
      <c r="CU15" s="23" t="n"/>
      <c r="CV15" s="19" t="inlineStr">
        <is>
          <t>OTHERS</t>
        </is>
      </c>
      <c r="CW15" s="23" t="n">
        <v>0</v>
      </c>
      <c r="CY15" s="19" t="inlineStr">
        <is>
          <t>OTHERS</t>
        </is>
      </c>
      <c r="CZ15" s="18">
        <f>CW15+B15</f>
        <v/>
      </c>
      <c r="DA15" s="18">
        <f>CZ15+C15</f>
        <v/>
      </c>
      <c r="DB15" s="18">
        <f>DA15+D15</f>
        <v/>
      </c>
      <c r="DC15" s="18">
        <f>DB15+E15</f>
        <v/>
      </c>
      <c r="DD15" s="18">
        <f>DC15+F15</f>
        <v/>
      </c>
      <c r="DE15" s="18">
        <f>DD15+G15</f>
        <v/>
      </c>
      <c r="DF15" s="18">
        <f>DE15+H15</f>
        <v/>
      </c>
      <c r="DG15" s="18">
        <f>DF15+I15</f>
        <v/>
      </c>
      <c r="DH15" s="18">
        <f>DG15+J15</f>
        <v/>
      </c>
      <c r="DI15" s="18">
        <f>DH15+K15</f>
        <v/>
      </c>
      <c r="DJ15" s="18">
        <f>DI15+L15</f>
        <v/>
      </c>
      <c r="DK15" s="18">
        <f>DJ15+M15</f>
        <v/>
      </c>
      <c r="DL15" s="18">
        <f>DK15+N15</f>
        <v/>
      </c>
      <c r="DM15" s="18">
        <f>DL15+O15</f>
        <v/>
      </c>
      <c r="DN15" s="18">
        <f>DM15+P15</f>
        <v/>
      </c>
      <c r="DO15" s="18">
        <f>DN15+Q15</f>
        <v/>
      </c>
      <c r="DP15" s="18">
        <f>DO15+R15</f>
        <v/>
      </c>
      <c r="DQ15" s="18">
        <f>DP15+S15</f>
        <v/>
      </c>
      <c r="DR15" s="18">
        <f>DQ15+T15</f>
        <v/>
      </c>
      <c r="DS15" s="18">
        <f>DR15+U15</f>
        <v/>
      </c>
      <c r="DT15" s="18">
        <f>DS15+V15</f>
        <v/>
      </c>
      <c r="DU15" s="18">
        <f>DT15+W15</f>
        <v/>
      </c>
      <c r="DV15" s="18">
        <f>DU15+X15</f>
        <v/>
      </c>
      <c r="DW15" s="18">
        <f>DV15+Y15</f>
        <v/>
      </c>
      <c r="DX15" s="18">
        <f>DW15+Z15</f>
        <v/>
      </c>
      <c r="DY15" s="18">
        <f>DX15+AA15</f>
        <v/>
      </c>
      <c r="DZ15" s="18">
        <f>DY15+AB15</f>
        <v/>
      </c>
      <c r="EA15" s="18">
        <f>DZ15+AC15</f>
        <v/>
      </c>
      <c r="EB15" s="18">
        <f>EA15+AD15</f>
        <v/>
      </c>
      <c r="EC15" s="18" t="n"/>
      <c r="ED15" s="18" t="n"/>
      <c r="EF15" s="19" t="inlineStr">
        <is>
          <t>OTHERS</t>
        </is>
      </c>
      <c r="EG15" s="51">
        <f>CZ15/EG$2</f>
        <v/>
      </c>
      <c r="EH15" s="51">
        <f>DA15/EH$2</f>
        <v/>
      </c>
      <c r="EI15" s="51">
        <f>DB15/EI$2</f>
        <v/>
      </c>
      <c r="EJ15" s="51">
        <f>DC15/EJ$2</f>
        <v/>
      </c>
      <c r="EK15" s="51">
        <f>DD15/EK$2</f>
        <v/>
      </c>
      <c r="EL15" s="51">
        <f>DE15/EL$2</f>
        <v/>
      </c>
      <c r="EM15" s="51">
        <f>DF15/EM$2</f>
        <v/>
      </c>
      <c r="EN15" s="51">
        <f>DG15/EN$2</f>
        <v/>
      </c>
      <c r="EO15" s="51">
        <f>DH15/EO$2</f>
        <v/>
      </c>
      <c r="EP15" s="51">
        <f>DI15/EP$2</f>
        <v/>
      </c>
      <c r="EQ15" s="51">
        <f>DJ15/EQ$2</f>
        <v/>
      </c>
      <c r="ER15" s="51">
        <f>DK15/ER$2</f>
        <v/>
      </c>
      <c r="ES15" s="51">
        <f>DL15/ES$2</f>
        <v/>
      </c>
      <c r="ET15" s="51">
        <f>DM15/ET$2</f>
        <v/>
      </c>
      <c r="EU15" s="51">
        <f>DN15/EU$2</f>
        <v/>
      </c>
      <c r="EV15" s="51">
        <f>DO15/EV$2</f>
        <v/>
      </c>
      <c r="EW15" s="51">
        <f>DP15/EW$2</f>
        <v/>
      </c>
      <c r="EX15" s="51">
        <f>DQ15/EX$2</f>
        <v/>
      </c>
      <c r="EY15" s="51">
        <f>DR15/EY$2</f>
        <v/>
      </c>
      <c r="EZ15" s="51">
        <f>DS15/EZ$2</f>
        <v/>
      </c>
      <c r="FA15" s="51">
        <f>DT15/FA$2</f>
        <v/>
      </c>
      <c r="FB15" s="51">
        <f>DU15/FB$2</f>
        <v/>
      </c>
      <c r="FC15" s="51">
        <f>DV15/FC$2</f>
        <v/>
      </c>
      <c r="FD15" s="51">
        <f>DW15/FD$2</f>
        <v/>
      </c>
      <c r="FE15" s="51">
        <f>DX15/FE$2</f>
        <v/>
      </c>
      <c r="FF15" s="51">
        <f>DY15/FF$2</f>
        <v/>
      </c>
      <c r="FG15" s="51">
        <f>DZ15/FG$2</f>
        <v/>
      </c>
      <c r="FH15" s="51">
        <f>EA15/FH$2</f>
        <v/>
      </c>
      <c r="FI15" s="51">
        <f>EB15/FI$2</f>
        <v/>
      </c>
      <c r="FJ15" s="51" t="n"/>
      <c r="FK15" s="51" t="n"/>
    </row>
    <row r="16" ht="16.5" customHeight="1" thickBot="1">
      <c r="A16" s="11" t="inlineStr">
        <is>
          <t>TOTAL</t>
        </is>
      </c>
      <c r="B16" s="20">
        <f>SUM(B3:B15)</f>
        <v/>
      </c>
      <c r="C16" s="20">
        <f>SUM(C3:C15)</f>
        <v/>
      </c>
      <c r="D16" s="20">
        <f>SUM(D3:D15)</f>
        <v/>
      </c>
      <c r="E16" s="20">
        <f>SUM(E3:E15)</f>
        <v/>
      </c>
      <c r="F16" s="20">
        <f>SUM(F3:F15)</f>
        <v/>
      </c>
      <c r="G16" s="20">
        <f>SUM(G3:G15)</f>
        <v/>
      </c>
      <c r="H16" s="20">
        <f>SUM(H3:H15)</f>
        <v/>
      </c>
      <c r="I16" s="20">
        <f>SUM(I3:I15)</f>
        <v/>
      </c>
      <c r="J16" s="20">
        <f>SUM(J3:J15)</f>
        <v/>
      </c>
      <c r="K16" s="20">
        <f>SUM(K3:K15)</f>
        <v/>
      </c>
      <c r="L16" s="20">
        <f>SUM(L3:L15)</f>
        <v/>
      </c>
      <c r="M16" s="20">
        <f>SUM(M3:M15)</f>
        <v/>
      </c>
      <c r="N16" s="20">
        <f>SUM(N3:N15)</f>
        <v/>
      </c>
      <c r="O16" s="20">
        <f>SUM(O3:O15)</f>
        <v/>
      </c>
      <c r="P16" s="20">
        <f>SUM(P3:P15)</f>
        <v/>
      </c>
      <c r="Q16" s="20">
        <f>SUM(Q3:Q15)</f>
        <v/>
      </c>
      <c r="R16" s="20">
        <f>SUM(R3:R15)</f>
        <v/>
      </c>
      <c r="S16" s="20">
        <f>SUM(S3:S15)</f>
        <v/>
      </c>
      <c r="T16" s="20">
        <f>SUM(T3:T15)</f>
        <v/>
      </c>
      <c r="U16" s="20">
        <f>SUM(U3:U15)</f>
        <v/>
      </c>
      <c r="V16" s="20">
        <f>SUM(V3:V15)</f>
        <v/>
      </c>
      <c r="W16" s="20">
        <f>SUM(W3:W15)</f>
        <v/>
      </c>
      <c r="X16" s="20">
        <f>SUM(X3:X15)</f>
        <v/>
      </c>
      <c r="Y16" s="20">
        <f>SUM(Y3:Y15)</f>
        <v/>
      </c>
      <c r="Z16" s="20">
        <f>SUM(Z3:Z15)</f>
        <v/>
      </c>
      <c r="AA16" s="20">
        <f>SUM(AA3:AA15)</f>
        <v/>
      </c>
      <c r="AB16" s="20">
        <f>SUM(AB3:AB15)</f>
        <v/>
      </c>
      <c r="AC16" s="20">
        <f>SUM(AC3:AC15)</f>
        <v/>
      </c>
      <c r="AD16" s="20">
        <f>SUM(AD3:AD15)</f>
        <v/>
      </c>
      <c r="AE16" s="20" t="n"/>
      <c r="AF16" s="21" t="n"/>
      <c r="AH16" s="11" t="inlineStr">
        <is>
          <t>TOTAL</t>
        </is>
      </c>
      <c r="AI16" s="20">
        <f>SUM(AI3:AI15)</f>
        <v/>
      </c>
      <c r="AJ16" s="20">
        <f>SUM(AJ3:AJ15)</f>
        <v/>
      </c>
      <c r="AK16" s="20">
        <f>SUM(AK3:AK15)</f>
        <v/>
      </c>
      <c r="AL16" s="20">
        <f>SUM(AL3:AL15)</f>
        <v/>
      </c>
      <c r="AM16" s="20">
        <f>SUM(AM3:AM15)</f>
        <v/>
      </c>
      <c r="AN16" s="20">
        <f>SUM(AN3:AN15)</f>
        <v/>
      </c>
      <c r="AO16" s="20">
        <f>SUM(AO3:AO15)</f>
        <v/>
      </c>
      <c r="AP16" s="20">
        <f>SUM(AP3:AP15)</f>
        <v/>
      </c>
      <c r="AQ16" s="20">
        <f>SUM(AQ3:AQ15)</f>
        <v/>
      </c>
      <c r="AR16" s="20">
        <f>SUM(AR3:AR15)</f>
        <v/>
      </c>
      <c r="AS16" s="20">
        <f>SUM(AS3:AS15)</f>
        <v/>
      </c>
      <c r="AT16" s="20">
        <f>SUM(AT3:AT15)</f>
        <v/>
      </c>
      <c r="AU16" s="20">
        <f>SUM(AU3:AU15)</f>
        <v/>
      </c>
      <c r="AV16" s="20">
        <f>SUM(AV3:AV15)</f>
        <v/>
      </c>
      <c r="AW16" s="20">
        <f>SUM(AW3:AW15)</f>
        <v/>
      </c>
      <c r="AX16" s="20">
        <f>SUM(AX3:AX15)</f>
        <v/>
      </c>
      <c r="AY16" s="20">
        <f>SUM(AY3:AY15)</f>
        <v/>
      </c>
      <c r="AZ16" s="20">
        <f>SUM(AZ3:AZ15)</f>
        <v/>
      </c>
      <c r="BA16" s="20">
        <f>SUM(BA3:BA15)</f>
        <v/>
      </c>
      <c r="BB16" s="20">
        <f>SUM(BB3:BB15)</f>
        <v/>
      </c>
      <c r="BC16" s="20">
        <f>SUM(BC3:BC15)</f>
        <v/>
      </c>
      <c r="BD16" s="20">
        <f>SUM(BD3:BD15)</f>
        <v/>
      </c>
      <c r="BE16" s="20">
        <f>SUM(BE3:BE15)</f>
        <v/>
      </c>
      <c r="BF16" s="20">
        <f>SUM(BF3:BF15)</f>
        <v/>
      </c>
      <c r="BG16" s="20">
        <f>SUM(BG3:BG15)</f>
        <v/>
      </c>
      <c r="BH16" s="20">
        <f>SUM(BH3:BH15)</f>
        <v/>
      </c>
      <c r="BI16" s="20">
        <f>SUM(BI3:BI15)</f>
        <v/>
      </c>
      <c r="BJ16" s="20">
        <f>SUM(BJ3:BJ15)</f>
        <v/>
      </c>
      <c r="BK16" s="20">
        <f>SUM(BK3:BK15)</f>
        <v/>
      </c>
      <c r="BL16" s="20">
        <f>SUM(BL3:BL15)</f>
        <v/>
      </c>
      <c r="BM16" s="21">
        <f>SUM(BM3:BM15)</f>
        <v/>
      </c>
      <c r="BO16" s="11" t="inlineStr">
        <is>
          <t>TOTAL</t>
        </is>
      </c>
      <c r="BP16" s="46">
        <f>SUM(BP3:BP15)</f>
        <v/>
      </c>
      <c r="BQ16" s="46">
        <f>SUM(BQ3:BQ15)</f>
        <v/>
      </c>
      <c r="BR16" s="46">
        <f>SUM(BR3:BR15)</f>
        <v/>
      </c>
      <c r="BS16" s="46">
        <f>SUM(BS3:BS15)</f>
        <v/>
      </c>
      <c r="BT16" s="46">
        <f>SUM(BT3:BT15)</f>
        <v/>
      </c>
      <c r="BU16" s="46">
        <f>SUM(BU3:BU15)</f>
        <v/>
      </c>
      <c r="BV16" s="46">
        <f>SUM(BV3:BV15)</f>
        <v/>
      </c>
      <c r="BW16" s="46">
        <f>SUM(BW3:BW15)</f>
        <v/>
      </c>
      <c r="BX16" s="46">
        <f>SUM(BX3:BX15)</f>
        <v/>
      </c>
      <c r="BY16" s="46">
        <f>SUM(BY3:BY15)</f>
        <v/>
      </c>
      <c r="BZ16" s="46">
        <f>SUM(BZ3:BZ15)</f>
        <v/>
      </c>
      <c r="CA16" s="46">
        <f>SUM(CA3:CA15)</f>
        <v/>
      </c>
      <c r="CB16" s="46">
        <f>SUM(CB3:CB15)</f>
        <v/>
      </c>
      <c r="CC16" s="46">
        <f>SUM(CC3:CC15)</f>
        <v/>
      </c>
      <c r="CD16" s="46">
        <f>SUM(CD3:CD15)</f>
        <v/>
      </c>
      <c r="CE16" s="46">
        <f>SUM(CE3:CE15)</f>
        <v/>
      </c>
      <c r="CF16" s="46">
        <f>SUM(CF3:CF15)</f>
        <v/>
      </c>
      <c r="CG16" s="46">
        <f>SUM(CG3:CG15)</f>
        <v/>
      </c>
      <c r="CH16" s="46">
        <f>SUM(CH3:CH15)</f>
        <v/>
      </c>
      <c r="CI16" s="46">
        <f>SUM(CI3:CI15)</f>
        <v/>
      </c>
      <c r="CJ16" s="46">
        <f>SUM(CJ3:CJ15)</f>
        <v/>
      </c>
      <c r="CK16" s="46">
        <f>SUM(CK3:CK15)</f>
        <v/>
      </c>
      <c r="CL16" s="46">
        <f>SUM(CL3:CL15)</f>
        <v/>
      </c>
      <c r="CM16" s="46">
        <f>SUM(CM3:CM15)</f>
        <v/>
      </c>
      <c r="CN16" s="46">
        <f>SUM(CN3:CN15)</f>
        <v/>
      </c>
      <c r="CO16" s="46">
        <f>SUM(CO3:CO15)</f>
        <v/>
      </c>
      <c r="CP16" s="46">
        <f>SUM(CP3:CP15)</f>
        <v/>
      </c>
      <c r="CQ16" s="46">
        <f>SUM(CQ3:CQ15)</f>
        <v/>
      </c>
      <c r="CR16" s="46">
        <f>SUM(CR3:CR15)</f>
        <v/>
      </c>
      <c r="CS16" s="46">
        <f>SUM(CS3:CS15)</f>
        <v/>
      </c>
      <c r="CT16" s="54">
        <f>SUM(CT3:CT15)</f>
        <v/>
      </c>
      <c r="CU16" s="23" t="n"/>
      <c r="CV16" s="11" t="inlineStr">
        <is>
          <t>TOTAL</t>
        </is>
      </c>
      <c r="CW16" s="23">
        <f>SUM(CW3:CW15)</f>
        <v/>
      </c>
      <c r="CY16" s="11" t="inlineStr">
        <is>
          <t>TOTAL</t>
        </is>
      </c>
      <c r="CZ16" s="20">
        <f>SUM(CZ3:CZ15)</f>
        <v/>
      </c>
      <c r="DA16" s="20">
        <f>SUM(DA3:DA15)</f>
        <v/>
      </c>
      <c r="DB16" s="20">
        <f>SUM(DB3:DB15)</f>
        <v/>
      </c>
      <c r="DC16" s="20">
        <f>SUM(DC3:DC15)</f>
        <v/>
      </c>
      <c r="DD16" s="20">
        <f>SUM(DD3:DD15)</f>
        <v/>
      </c>
      <c r="DE16" s="20">
        <f>SUM(DE3:DE15)</f>
        <v/>
      </c>
      <c r="DF16" s="20">
        <f>SUM(DF3:DF15)</f>
        <v/>
      </c>
      <c r="DG16" s="20">
        <f>SUM(DG3:DG15)</f>
        <v/>
      </c>
      <c r="DH16" s="20">
        <f>SUM(DH3:DH15)</f>
        <v/>
      </c>
      <c r="DI16" s="20">
        <f>SUM(DI3:DI15)</f>
        <v/>
      </c>
      <c r="DJ16" s="20">
        <f>SUM(DJ3:DJ15)</f>
        <v/>
      </c>
      <c r="DK16" s="20">
        <f>SUM(DK3:DK15)</f>
        <v/>
      </c>
      <c r="DL16" s="20">
        <f>SUM(DL3:DL15)</f>
        <v/>
      </c>
      <c r="DM16" s="20">
        <f>SUM(DM3:DM15)</f>
        <v/>
      </c>
      <c r="DN16" s="20">
        <f>SUM(DN3:DN15)</f>
        <v/>
      </c>
      <c r="DO16" s="20">
        <f>SUM(DO3:DO15)</f>
        <v/>
      </c>
      <c r="DP16" s="20">
        <f>SUM(DP3:DP15)</f>
        <v/>
      </c>
      <c r="DQ16" s="20">
        <f>SUM(DQ3:DQ15)</f>
        <v/>
      </c>
      <c r="DR16" s="20">
        <f>SUM(DR3:DR15)</f>
        <v/>
      </c>
      <c r="DS16" s="20">
        <f>SUM(DS3:DS15)</f>
        <v/>
      </c>
      <c r="DT16" s="20">
        <f>SUM(DT3:DT15)</f>
        <v/>
      </c>
      <c r="DU16" s="20">
        <f>SUM(DU3:DU15)</f>
        <v/>
      </c>
      <c r="DV16" s="20">
        <f>SUM(DV3:DV15)</f>
        <v/>
      </c>
      <c r="DW16" s="20">
        <f>SUM(DW3:DW15)</f>
        <v/>
      </c>
      <c r="DX16" s="20">
        <f>SUM(DX3:DX15)</f>
        <v/>
      </c>
      <c r="DY16" s="20">
        <f>SUM(DY3:DY15)</f>
        <v/>
      </c>
      <c r="DZ16" s="20">
        <f>SUM(DZ3:DZ15)</f>
        <v/>
      </c>
      <c r="EA16" s="20">
        <f>SUM(EA3:EA15)</f>
        <v/>
      </c>
      <c r="EB16" s="20">
        <f>SUM(EB3:EB15)</f>
        <v/>
      </c>
      <c r="EC16" s="20">
        <f>SUM(EC3:EC15)</f>
        <v/>
      </c>
      <c r="ED16" s="21">
        <f>SUM(ED3:ED15)</f>
        <v/>
      </c>
      <c r="EF16" s="11" t="inlineStr">
        <is>
          <t>TOTAL</t>
        </is>
      </c>
      <c r="EG16" s="46">
        <f>SUM(EG3:EG15)</f>
        <v/>
      </c>
      <c r="EH16" s="46">
        <f>SUM(EH3:EH15)</f>
        <v/>
      </c>
      <c r="EI16" s="46">
        <f>SUM(EI3:EI15)</f>
        <v/>
      </c>
      <c r="EJ16" s="46">
        <f>SUM(EJ3:EJ15)</f>
        <v/>
      </c>
      <c r="EK16" s="46">
        <f>SUM(EK3:EK15)</f>
        <v/>
      </c>
      <c r="EL16" s="46">
        <f>SUM(EL3:EL15)</f>
        <v/>
      </c>
      <c r="EM16" s="46">
        <f>SUM(EM3:EM15)</f>
        <v/>
      </c>
      <c r="EN16" s="46">
        <f>SUM(EN3:EN15)</f>
        <v/>
      </c>
      <c r="EO16" s="46">
        <f>SUM(EO3:EO15)</f>
        <v/>
      </c>
      <c r="EP16" s="46">
        <f>SUM(EP3:EP15)</f>
        <v/>
      </c>
      <c r="EQ16" s="46">
        <f>SUM(EQ3:EQ15)</f>
        <v/>
      </c>
      <c r="ER16" s="46">
        <f>SUM(ER3:ER15)</f>
        <v/>
      </c>
      <c r="ES16" s="46">
        <f>SUM(ES3:ES15)</f>
        <v/>
      </c>
      <c r="ET16" s="46">
        <f>SUM(ET3:ET15)</f>
        <v/>
      </c>
      <c r="EU16" s="46">
        <f>SUM(EU3:EU15)</f>
        <v/>
      </c>
      <c r="EV16" s="46">
        <f>SUM(EV3:EV15)</f>
        <v/>
      </c>
      <c r="EW16" s="46">
        <f>SUM(EW3:EW15)</f>
        <v/>
      </c>
      <c r="EX16" s="46">
        <f>SUM(EX3:EX15)</f>
        <v/>
      </c>
      <c r="EY16" s="46">
        <f>SUM(EY3:EY15)</f>
        <v/>
      </c>
      <c r="EZ16" s="46">
        <f>SUM(EZ3:EZ15)</f>
        <v/>
      </c>
      <c r="FA16" s="46">
        <f>SUM(FA3:FA15)</f>
        <v/>
      </c>
      <c r="FB16" s="46">
        <f>SUM(FB3:FB15)</f>
        <v/>
      </c>
      <c r="FC16" s="46">
        <f>SUM(FC3:FC15)</f>
        <v/>
      </c>
      <c r="FD16" s="46">
        <f>SUM(FD3:FD15)</f>
        <v/>
      </c>
      <c r="FE16" s="46">
        <f>SUM(FE3:FE15)</f>
        <v/>
      </c>
      <c r="FF16" s="46">
        <f>SUM(FF3:FF15)</f>
        <v/>
      </c>
      <c r="FG16" s="46">
        <f>SUM(FG3:FG15)</f>
        <v/>
      </c>
      <c r="FH16" s="46">
        <f>SUM(FH3:FH15)</f>
        <v/>
      </c>
      <c r="FI16" s="46">
        <f>SUM(FI3:FI15)</f>
        <v/>
      </c>
      <c r="FJ16" s="46">
        <f>SUM(FJ3:FJ15)</f>
        <v/>
      </c>
      <c r="FK16" s="54">
        <f>SUM(FK3:FK15)</f>
        <v/>
      </c>
    </row>
    <row r="17" ht="15.75" customHeight="1" thickBot="1"/>
    <row r="18" ht="21.75" customHeight="1" thickBot="1">
      <c r="A18" s="368" t="inlineStr">
        <is>
          <t xml:space="preserve"> CURRENT YEAR DIVISIONWISE DAILY LOADING</t>
        </is>
      </c>
      <c r="B18" s="2141" t="n"/>
      <c r="C18" s="2141" t="n"/>
      <c r="D18" s="2141" t="n"/>
      <c r="E18" s="2141" t="n"/>
      <c r="F18" s="2141" t="n"/>
      <c r="G18" s="2141" t="n"/>
      <c r="H18" s="2141" t="n"/>
      <c r="I18" s="2141" t="n"/>
      <c r="J18" s="2141" t="n"/>
      <c r="K18" s="2141" t="n"/>
      <c r="L18" s="2141" t="n"/>
      <c r="M18" s="2141" t="n"/>
      <c r="N18" s="2141" t="n"/>
      <c r="O18" s="2141" t="n"/>
      <c r="P18" s="2141" t="n"/>
      <c r="Q18" s="2141" t="n"/>
      <c r="R18" s="2141" t="n"/>
      <c r="S18" s="2141" t="n"/>
      <c r="T18" s="2141" t="n"/>
      <c r="U18" s="2141" t="n"/>
      <c r="V18" s="2141" t="n"/>
      <c r="W18" s="2141" t="n"/>
      <c r="X18" s="2141" t="n"/>
      <c r="Y18" s="2141" t="n"/>
      <c r="Z18" s="2141" t="n"/>
      <c r="AA18" s="2141" t="n"/>
      <c r="AB18" s="2141" t="n"/>
      <c r="AC18" s="2141" t="n"/>
      <c r="AD18" s="2141" t="n"/>
      <c r="AE18" s="2141" t="n"/>
      <c r="AF18" s="2147" t="n"/>
      <c r="AH18" s="2181" t="inlineStr">
        <is>
          <t xml:space="preserve"> CURRENT YEAR DIVISIONWISE  MONTHLY  LOADING</t>
        </is>
      </c>
      <c r="AI18" s="2141" t="n"/>
      <c r="AJ18" s="2141" t="n"/>
      <c r="AK18" s="2141" t="n"/>
      <c r="AL18" s="2141" t="n"/>
      <c r="AM18" s="2141" t="n"/>
      <c r="AN18" s="2141" t="n"/>
      <c r="AO18" s="2141" t="n"/>
      <c r="AP18" s="2141" t="n"/>
      <c r="AQ18" s="2141" t="n"/>
      <c r="AR18" s="2141" t="n"/>
      <c r="AS18" s="2141" t="n"/>
      <c r="AT18" s="2141" t="n"/>
      <c r="AU18" s="2141" t="n"/>
      <c r="AV18" s="2141" t="n"/>
      <c r="AW18" s="2141" t="n"/>
      <c r="AX18" s="2141" t="n"/>
      <c r="AY18" s="2141" t="n"/>
      <c r="AZ18" s="2141" t="n"/>
      <c r="BA18" s="2141" t="n"/>
      <c r="BB18" s="2141" t="n"/>
      <c r="BC18" s="2141" t="n"/>
      <c r="BD18" s="2141" t="n"/>
      <c r="BE18" s="2141" t="n"/>
      <c r="BF18" s="2141" t="n"/>
      <c r="BG18" s="2141" t="n"/>
      <c r="BH18" s="2141" t="n"/>
      <c r="BI18" s="2141" t="n"/>
      <c r="BJ18" s="2141" t="n"/>
      <c r="BK18" s="2141" t="n"/>
      <c r="BL18" s="2141" t="n"/>
      <c r="BM18" s="2147" t="n"/>
      <c r="BO18" s="2182" t="inlineStr">
        <is>
          <t xml:space="preserve"> CURRENT YEAR DIVISIONWISE  MONTHLY AVG LOADING</t>
        </is>
      </c>
      <c r="BP18" s="2141" t="n"/>
      <c r="BQ18" s="2141" t="n"/>
      <c r="BR18" s="2141" t="n"/>
      <c r="BS18" s="2141" t="n"/>
      <c r="BT18" s="2141" t="n"/>
      <c r="BU18" s="2141" t="n"/>
      <c r="BV18" s="2141" t="n"/>
      <c r="BW18" s="2141" t="n"/>
      <c r="BX18" s="2141" t="n"/>
      <c r="BY18" s="2141" t="n"/>
      <c r="BZ18" s="2141" t="n"/>
      <c r="CA18" s="2141" t="n"/>
      <c r="CB18" s="2141" t="n"/>
      <c r="CC18" s="2141" t="n"/>
      <c r="CD18" s="2141" t="n"/>
      <c r="CE18" s="2141" t="n"/>
      <c r="CF18" s="2141" t="n"/>
      <c r="CG18" s="2141" t="n"/>
      <c r="CH18" s="2141" t="n"/>
      <c r="CI18" s="2141" t="n"/>
      <c r="CJ18" s="2141" t="n"/>
      <c r="CK18" s="2141" t="n"/>
      <c r="CL18" s="2141" t="n"/>
      <c r="CM18" s="2141" t="n"/>
      <c r="CN18" s="2141" t="n"/>
      <c r="CO18" s="2141" t="n"/>
      <c r="CP18" s="2141" t="n"/>
      <c r="CQ18" s="2141" t="n"/>
      <c r="CR18" s="2141" t="n"/>
      <c r="CS18" s="2141" t="n"/>
      <c r="CT18" s="2147" t="n"/>
      <c r="CU18" s="2135" t="n"/>
      <c r="CV18" s="2135" t="n"/>
      <c r="CW18" s="2135" t="n"/>
      <c r="CY18" s="2184" t="inlineStr">
        <is>
          <t xml:space="preserve"> CURRENT YEAR DIVISIONWISE  YEARLY CUMMULATIVE  LOADING</t>
        </is>
      </c>
      <c r="CZ18" s="2141" t="n"/>
      <c r="DA18" s="2141" t="n"/>
      <c r="DB18" s="2141" t="n"/>
      <c r="DC18" s="2141" t="n"/>
      <c r="DD18" s="2141" t="n"/>
      <c r="DE18" s="2141" t="n"/>
      <c r="DF18" s="2141" t="n"/>
      <c r="DG18" s="2141" t="n"/>
      <c r="DH18" s="2141" t="n"/>
      <c r="DI18" s="2141" t="n"/>
      <c r="DJ18" s="2141" t="n"/>
      <c r="DK18" s="2141" t="n"/>
      <c r="DL18" s="2141" t="n"/>
      <c r="DM18" s="2141" t="n"/>
      <c r="DN18" s="2141" t="n"/>
      <c r="DO18" s="2141" t="n"/>
      <c r="DP18" s="2141" t="n"/>
      <c r="DQ18" s="2141" t="n"/>
      <c r="DR18" s="2141" t="n"/>
      <c r="DS18" s="2141" t="n"/>
      <c r="DT18" s="2141" t="n"/>
      <c r="DU18" s="2141" t="n"/>
      <c r="DV18" s="2141" t="n"/>
      <c r="DW18" s="2141" t="n"/>
      <c r="DX18" s="2141" t="n"/>
      <c r="DY18" s="2141" t="n"/>
      <c r="DZ18" s="2141" t="n"/>
      <c r="EA18" s="2141" t="n"/>
      <c r="EB18" s="2141" t="n"/>
      <c r="EC18" s="2141" t="n"/>
      <c r="ED18" s="2147" t="n"/>
      <c r="EF18" s="2184" t="inlineStr">
        <is>
          <t xml:space="preserve"> CURRENT YEAR DIVISIONWISE  YEARLY AVG  LOADING</t>
        </is>
      </c>
      <c r="EG18" s="2141" t="n"/>
      <c r="EH18" s="2141" t="n"/>
      <c r="EI18" s="2141" t="n"/>
      <c r="EJ18" s="2141" t="n"/>
      <c r="EK18" s="2141" t="n"/>
      <c r="EL18" s="2141" t="n"/>
      <c r="EM18" s="2141" t="n"/>
      <c r="EN18" s="2141" t="n"/>
      <c r="EO18" s="2141" t="n"/>
      <c r="EP18" s="2141" t="n"/>
      <c r="EQ18" s="2141" t="n"/>
      <c r="ER18" s="2141" t="n"/>
      <c r="ES18" s="2141" t="n"/>
      <c r="ET18" s="2141" t="n"/>
      <c r="EU18" s="2141" t="n"/>
      <c r="EV18" s="2141" t="n"/>
      <c r="EW18" s="2141" t="n"/>
      <c r="EX18" s="2141" t="n"/>
      <c r="EY18" s="2141" t="n"/>
      <c r="EZ18" s="2141" t="n"/>
      <c r="FA18" s="2141" t="n"/>
      <c r="FB18" s="2141" t="n"/>
      <c r="FC18" s="2141" t="n"/>
      <c r="FD18" s="2141" t="n"/>
      <c r="FE18" s="2141" t="n"/>
      <c r="FF18" s="2141" t="n"/>
      <c r="FG18" s="2141" t="n"/>
      <c r="FH18" s="2141" t="n"/>
      <c r="FI18" s="2141" t="n"/>
      <c r="FJ18" s="2141" t="n"/>
      <c r="FK18" s="2147" t="n"/>
    </row>
    <row r="19" ht="15.75" customHeight="1">
      <c r="A19" s="12" t="inlineStr">
        <is>
          <t>DIV</t>
        </is>
      </c>
      <c r="B19" s="3" t="n">
        <v>1</v>
      </c>
      <c r="C19" s="3" t="n">
        <v>2</v>
      </c>
      <c r="D19" s="3" t="n">
        <v>3</v>
      </c>
      <c r="E19" s="3" t="n">
        <v>4</v>
      </c>
      <c r="F19" s="3" t="n">
        <v>5</v>
      </c>
      <c r="G19" s="3" t="n">
        <v>6</v>
      </c>
      <c r="H19" s="3" t="n">
        <v>7</v>
      </c>
      <c r="I19" s="3" t="n">
        <v>8</v>
      </c>
      <c r="J19" s="3" t="n">
        <v>9</v>
      </c>
      <c r="K19" s="3" t="n">
        <v>10</v>
      </c>
      <c r="L19" s="3" t="n">
        <v>11</v>
      </c>
      <c r="M19" s="3" t="n">
        <v>12</v>
      </c>
      <c r="N19" s="3" t="n">
        <v>13</v>
      </c>
      <c r="O19" s="3" t="n">
        <v>14</v>
      </c>
      <c r="P19" s="3" t="n">
        <v>15</v>
      </c>
      <c r="Q19" s="3" t="n">
        <v>16</v>
      </c>
      <c r="R19" s="3" t="n">
        <v>17</v>
      </c>
      <c r="S19" s="3" t="n">
        <v>18</v>
      </c>
      <c r="T19" s="3" t="n">
        <v>19</v>
      </c>
      <c r="U19" s="3" t="n">
        <v>20</v>
      </c>
      <c r="V19" s="3" t="n">
        <v>21</v>
      </c>
      <c r="W19" s="3" t="n">
        <v>22</v>
      </c>
      <c r="X19" s="3" t="n">
        <v>23</v>
      </c>
      <c r="Y19" s="3" t="n">
        <v>24</v>
      </c>
      <c r="Z19" s="3" t="n">
        <v>25</v>
      </c>
      <c r="AA19" s="3" t="n">
        <v>26</v>
      </c>
      <c r="AB19" s="3" t="n">
        <v>27</v>
      </c>
      <c r="AC19" s="3" t="n">
        <v>28</v>
      </c>
      <c r="AD19" s="3" t="n">
        <v>29</v>
      </c>
      <c r="AE19" s="3" t="n">
        <v>30</v>
      </c>
      <c r="AF19" s="5" t="n">
        <v>31</v>
      </c>
      <c r="AH19" s="12" t="inlineStr">
        <is>
          <t>DIV</t>
        </is>
      </c>
      <c r="AI19" s="3" t="n">
        <v>1</v>
      </c>
      <c r="AJ19" s="3" t="n">
        <v>2</v>
      </c>
      <c r="AK19" s="3" t="n">
        <v>3</v>
      </c>
      <c r="AL19" s="3" t="n">
        <v>4</v>
      </c>
      <c r="AM19" s="3" t="n">
        <v>5</v>
      </c>
      <c r="AN19" s="3" t="n">
        <v>6</v>
      </c>
      <c r="AO19" s="3" t="n">
        <v>7</v>
      </c>
      <c r="AP19" s="3" t="n">
        <v>8</v>
      </c>
      <c r="AQ19" s="3" t="n">
        <v>9</v>
      </c>
      <c r="AR19" s="3" t="n">
        <v>10</v>
      </c>
      <c r="AS19" s="3" t="n">
        <v>11</v>
      </c>
      <c r="AT19" s="3" t="n">
        <v>12</v>
      </c>
      <c r="AU19" s="3" t="n">
        <v>13</v>
      </c>
      <c r="AV19" s="3" t="n">
        <v>14</v>
      </c>
      <c r="AW19" s="3" t="n">
        <v>15</v>
      </c>
      <c r="AX19" s="3" t="n">
        <v>16</v>
      </c>
      <c r="AY19" s="3" t="n">
        <v>17</v>
      </c>
      <c r="AZ19" s="3" t="n">
        <v>18</v>
      </c>
      <c r="BA19" s="3" t="n">
        <v>19</v>
      </c>
      <c r="BB19" s="3" t="n">
        <v>20</v>
      </c>
      <c r="BC19" s="3" t="n">
        <v>21</v>
      </c>
      <c r="BD19" s="3" t="n">
        <v>22</v>
      </c>
      <c r="BE19" s="3" t="n">
        <v>23</v>
      </c>
      <c r="BF19" s="3" t="n">
        <v>24</v>
      </c>
      <c r="BG19" s="3" t="n">
        <v>25</v>
      </c>
      <c r="BH19" s="3" t="n">
        <v>26</v>
      </c>
      <c r="BI19" s="3" t="n">
        <v>27</v>
      </c>
      <c r="BJ19" s="3" t="n">
        <v>28</v>
      </c>
      <c r="BK19" s="3" t="n">
        <v>29</v>
      </c>
      <c r="BL19" s="3" t="n">
        <v>30</v>
      </c>
      <c r="BM19" s="5" t="n">
        <v>31</v>
      </c>
      <c r="BO19" s="12" t="inlineStr">
        <is>
          <t>DIV</t>
        </is>
      </c>
      <c r="BP19" s="3" t="n">
        <v>1</v>
      </c>
      <c r="BQ19" s="3" t="n">
        <v>2</v>
      </c>
      <c r="BR19" s="3" t="n">
        <v>3</v>
      </c>
      <c r="BS19" s="3" t="n">
        <v>4</v>
      </c>
      <c r="BT19" s="3" t="n">
        <v>5</v>
      </c>
      <c r="BU19" s="3" t="n">
        <v>6</v>
      </c>
      <c r="BV19" s="3" t="n">
        <v>7</v>
      </c>
      <c r="BW19" s="3" t="n">
        <v>8</v>
      </c>
      <c r="BX19" s="3" t="n">
        <v>9</v>
      </c>
      <c r="BY19" s="3" t="n">
        <v>10</v>
      </c>
      <c r="BZ19" s="3" t="n">
        <v>11</v>
      </c>
      <c r="CA19" s="3" t="n">
        <v>12</v>
      </c>
      <c r="CB19" s="3" t="n">
        <v>13</v>
      </c>
      <c r="CC19" s="3" t="n">
        <v>14</v>
      </c>
      <c r="CD19" s="3" t="n">
        <v>15</v>
      </c>
      <c r="CE19" s="3" t="n">
        <v>16</v>
      </c>
      <c r="CF19" s="3" t="n">
        <v>17</v>
      </c>
      <c r="CG19" s="3" t="n">
        <v>18</v>
      </c>
      <c r="CH19" s="3" t="n">
        <v>19</v>
      </c>
      <c r="CI19" s="3" t="n">
        <v>20</v>
      </c>
      <c r="CJ19" s="3" t="n">
        <v>21</v>
      </c>
      <c r="CK19" s="3" t="n">
        <v>22</v>
      </c>
      <c r="CL19" s="3" t="n">
        <v>23</v>
      </c>
      <c r="CM19" s="3" t="n">
        <v>24</v>
      </c>
      <c r="CN19" s="3" t="n">
        <v>25</v>
      </c>
      <c r="CO19" s="3" t="n">
        <v>26</v>
      </c>
      <c r="CP19" s="3" t="n">
        <v>27</v>
      </c>
      <c r="CQ19" s="3" t="n">
        <v>28</v>
      </c>
      <c r="CR19" s="3" t="n">
        <v>29</v>
      </c>
      <c r="CS19" s="3" t="n">
        <v>30</v>
      </c>
      <c r="CT19" s="5" t="n">
        <v>31</v>
      </c>
      <c r="CU19" s="2135" t="n"/>
      <c r="CV19" s="12" t="inlineStr">
        <is>
          <t>DIV</t>
        </is>
      </c>
      <c r="CW19" s="2135" t="n"/>
      <c r="CY19" s="12" t="inlineStr">
        <is>
          <t>DIV</t>
        </is>
      </c>
      <c r="CZ19" s="3" t="n">
        <v>1</v>
      </c>
      <c r="DA19" s="3" t="n">
        <v>2</v>
      </c>
      <c r="DB19" s="3" t="n">
        <v>3</v>
      </c>
      <c r="DC19" s="3" t="n">
        <v>4</v>
      </c>
      <c r="DD19" s="3" t="n">
        <v>5</v>
      </c>
      <c r="DE19" s="3" t="n">
        <v>6</v>
      </c>
      <c r="DF19" s="3" t="n">
        <v>7</v>
      </c>
      <c r="DG19" s="3" t="n">
        <v>8</v>
      </c>
      <c r="DH19" s="3" t="n">
        <v>9</v>
      </c>
      <c r="DI19" s="3" t="n">
        <v>10</v>
      </c>
      <c r="DJ19" s="3" t="n">
        <v>11</v>
      </c>
      <c r="DK19" s="3" t="n">
        <v>12</v>
      </c>
      <c r="DL19" s="3" t="n">
        <v>13</v>
      </c>
      <c r="DM19" s="3" t="n">
        <v>14</v>
      </c>
      <c r="DN19" s="3" t="n">
        <v>15</v>
      </c>
      <c r="DO19" s="3" t="n">
        <v>16</v>
      </c>
      <c r="DP19" s="3" t="n">
        <v>17</v>
      </c>
      <c r="DQ19" s="3" t="n">
        <v>18</v>
      </c>
      <c r="DR19" s="3" t="n">
        <v>19</v>
      </c>
      <c r="DS19" s="3" t="n">
        <v>20</v>
      </c>
      <c r="DT19" s="3" t="n">
        <v>21</v>
      </c>
      <c r="DU19" s="3" t="n">
        <v>22</v>
      </c>
      <c r="DV19" s="3" t="n">
        <v>23</v>
      </c>
      <c r="DW19" s="3" t="n">
        <v>24</v>
      </c>
      <c r="DX19" s="3" t="n">
        <v>25</v>
      </c>
      <c r="DY19" s="3" t="n">
        <v>26</v>
      </c>
      <c r="DZ19" s="3" t="n">
        <v>27</v>
      </c>
      <c r="EA19" s="3" t="n">
        <v>28</v>
      </c>
      <c r="EB19" s="3" t="n">
        <v>29</v>
      </c>
      <c r="EC19" s="3" t="n">
        <v>30</v>
      </c>
      <c r="ED19" s="5" t="n">
        <v>31</v>
      </c>
      <c r="EF19" s="12" t="inlineStr">
        <is>
          <t>DIV</t>
        </is>
      </c>
      <c r="EG19" s="3">
        <f>EG2</f>
        <v/>
      </c>
      <c r="EH19" s="3">
        <f>EH2</f>
        <v/>
      </c>
      <c r="EI19" s="3">
        <f>EI2</f>
        <v/>
      </c>
      <c r="EJ19" s="3">
        <f>EJ2</f>
        <v/>
      </c>
      <c r="EK19" s="3">
        <f>EK2</f>
        <v/>
      </c>
      <c r="EL19" s="3">
        <f>EL2</f>
        <v/>
      </c>
      <c r="EM19" s="3">
        <f>EM2</f>
        <v/>
      </c>
      <c r="EN19" s="3">
        <f>EN2</f>
        <v/>
      </c>
      <c r="EO19" s="3">
        <f>EO2</f>
        <v/>
      </c>
      <c r="EP19" s="3">
        <f>EP2</f>
        <v/>
      </c>
      <c r="EQ19" s="3">
        <f>EQ2</f>
        <v/>
      </c>
      <c r="ER19" s="3">
        <f>ER2</f>
        <v/>
      </c>
      <c r="ES19" s="3">
        <f>ES2</f>
        <v/>
      </c>
      <c r="ET19" s="3">
        <f>ET2</f>
        <v/>
      </c>
      <c r="EU19" s="3">
        <f>EU2</f>
        <v/>
      </c>
      <c r="EV19" s="3">
        <f>EV2</f>
        <v/>
      </c>
      <c r="EW19" s="3">
        <f>EW2</f>
        <v/>
      </c>
      <c r="EX19" s="3">
        <f>EX2</f>
        <v/>
      </c>
      <c r="EY19" s="3">
        <f>EY2</f>
        <v/>
      </c>
      <c r="EZ19" s="3">
        <f>EZ2</f>
        <v/>
      </c>
      <c r="FA19" s="3">
        <f>FA2</f>
        <v/>
      </c>
      <c r="FB19" s="3">
        <f>FB2</f>
        <v/>
      </c>
      <c r="FC19" s="3">
        <f>FC2</f>
        <v/>
      </c>
      <c r="FD19" s="3">
        <f>FD2</f>
        <v/>
      </c>
      <c r="FE19" s="3">
        <f>FE2</f>
        <v/>
      </c>
      <c r="FF19" s="3">
        <f>FF2</f>
        <v/>
      </c>
      <c r="FG19" s="3">
        <f>FG2</f>
        <v/>
      </c>
      <c r="FH19" s="3">
        <f>FH2</f>
        <v/>
      </c>
      <c r="FI19" s="3">
        <f>FI2</f>
        <v/>
      </c>
      <c r="FJ19" s="3">
        <f>FJ2</f>
        <v/>
      </c>
      <c r="FK19" s="3">
        <f>FK2</f>
        <v/>
      </c>
    </row>
    <row r="20" ht="15.75" customHeight="1">
      <c r="A20" s="13" t="inlineStr">
        <is>
          <t>ADI</t>
        </is>
      </c>
      <c r="B20" s="18">
        <f>'1'!$D21</f>
        <v/>
      </c>
      <c r="C20" s="18">
        <f>'2'!$D21</f>
        <v/>
      </c>
      <c r="D20" s="18">
        <f>'3'!$D21</f>
        <v/>
      </c>
      <c r="E20" s="18">
        <f>'4'!$D21</f>
        <v/>
      </c>
      <c r="F20" s="18">
        <f>'5'!$D21</f>
        <v/>
      </c>
      <c r="G20" s="18">
        <f>'6'!$D21</f>
        <v/>
      </c>
      <c r="H20" s="18">
        <f>'7'!$D21</f>
        <v/>
      </c>
      <c r="I20" s="18">
        <f>'8'!$D21</f>
        <v/>
      </c>
      <c r="J20" s="18">
        <f>'9'!$D21</f>
        <v/>
      </c>
      <c r="K20" s="18">
        <f>'10'!$D21</f>
        <v/>
      </c>
      <c r="L20" s="18">
        <f>'11'!$D21</f>
        <v/>
      </c>
      <c r="M20" s="18">
        <f>'12'!$D21</f>
        <v/>
      </c>
      <c r="N20" s="18">
        <f>'13'!$D21</f>
        <v/>
      </c>
      <c r="O20" s="18">
        <f>'14'!$D21</f>
        <v/>
      </c>
      <c r="P20" s="18">
        <f>'15'!$D21</f>
        <v/>
      </c>
      <c r="Q20" s="18">
        <f>'16'!$D21</f>
        <v/>
      </c>
      <c r="R20" s="18">
        <f>'17'!$D21</f>
        <v/>
      </c>
      <c r="S20" s="18">
        <f>'18'!$D21</f>
        <v/>
      </c>
      <c r="T20" s="18">
        <f>'19'!$D21</f>
        <v/>
      </c>
      <c r="U20" s="18">
        <f>'20'!$D21</f>
        <v/>
      </c>
      <c r="V20" s="18">
        <f>'21'!$D21</f>
        <v/>
      </c>
      <c r="W20" s="18">
        <f>'22'!$D21</f>
        <v/>
      </c>
      <c r="X20" s="18">
        <f>'23'!$D21</f>
        <v/>
      </c>
      <c r="Y20" s="18">
        <f>'24'!$D21</f>
        <v/>
      </c>
      <c r="Z20" s="18">
        <f>'25'!$D21</f>
        <v/>
      </c>
      <c r="AA20" s="18">
        <f>'26'!$D21</f>
        <v/>
      </c>
      <c r="AB20" s="18">
        <f>'27'!$D21</f>
        <v/>
      </c>
      <c r="AC20" s="18">
        <f>'28'!$D21</f>
        <v/>
      </c>
      <c r="AD20" s="18">
        <f>'29'!$D21</f>
        <v/>
      </c>
      <c r="AE20" s="18" t="n"/>
      <c r="AF20" s="22" t="n"/>
      <c r="AH20" s="13" t="inlineStr">
        <is>
          <t>ADI</t>
        </is>
      </c>
      <c r="AI20" s="18">
        <f>B20</f>
        <v/>
      </c>
      <c r="AJ20" s="18">
        <f>AI20+C20</f>
        <v/>
      </c>
      <c r="AK20" s="18">
        <f>AJ20+D20</f>
        <v/>
      </c>
      <c r="AL20" s="18">
        <f>AK20+E20</f>
        <v/>
      </c>
      <c r="AM20" s="18">
        <f>AL20+F20</f>
        <v/>
      </c>
      <c r="AN20" s="18">
        <f>AM20+G20</f>
        <v/>
      </c>
      <c r="AO20" s="18">
        <f>AN20+H20</f>
        <v/>
      </c>
      <c r="AP20" s="18">
        <f>AO20+I20</f>
        <v/>
      </c>
      <c r="AQ20" s="18">
        <f>AP20+J20</f>
        <v/>
      </c>
      <c r="AR20" s="18">
        <f>AQ20+K20</f>
        <v/>
      </c>
      <c r="AS20" s="18">
        <f>AR20+L20</f>
        <v/>
      </c>
      <c r="AT20" s="18">
        <f>AS20+M20</f>
        <v/>
      </c>
      <c r="AU20" s="18">
        <f>AT20+N20</f>
        <v/>
      </c>
      <c r="AV20" s="18">
        <f>AU20+O20</f>
        <v/>
      </c>
      <c r="AW20" s="18">
        <f>AV20+P20</f>
        <v/>
      </c>
      <c r="AX20" s="18">
        <f>AW20+Q20</f>
        <v/>
      </c>
      <c r="AY20" s="18">
        <f>AX20+R20</f>
        <v/>
      </c>
      <c r="AZ20" s="18">
        <f>AY20+S20</f>
        <v/>
      </c>
      <c r="BA20" s="18">
        <f>AZ20+T20</f>
        <v/>
      </c>
      <c r="BB20" s="18">
        <f>BA20+U20</f>
        <v/>
      </c>
      <c r="BC20" s="18">
        <f>BB20+V20</f>
        <v/>
      </c>
      <c r="BD20" s="18">
        <f>BC20+W20</f>
        <v/>
      </c>
      <c r="BE20" s="18">
        <f>BD20+X20</f>
        <v/>
      </c>
      <c r="BF20" s="18">
        <f>BE20+Y20</f>
        <v/>
      </c>
      <c r="BG20" s="18">
        <f>BF20+Z20</f>
        <v/>
      </c>
      <c r="BH20" s="18">
        <f>BG20+AA20</f>
        <v/>
      </c>
      <c r="BI20" s="18">
        <f>BH20+AB20</f>
        <v/>
      </c>
      <c r="BJ20" s="18">
        <f>BI20+AC20</f>
        <v/>
      </c>
      <c r="BK20" s="18">
        <f>BJ20+AD20</f>
        <v/>
      </c>
      <c r="BL20" s="18" t="n"/>
      <c r="BM20" s="18" t="n"/>
      <c r="BO20" s="13" t="inlineStr">
        <is>
          <t>ADI</t>
        </is>
      </c>
      <c r="BP20" s="51">
        <f>AI20/AI$2</f>
        <v/>
      </c>
      <c r="BQ20" s="51">
        <f>AJ20/AJ$2</f>
        <v/>
      </c>
      <c r="BR20" s="51">
        <f>AK20/AK$2</f>
        <v/>
      </c>
      <c r="BS20" s="51">
        <f>AL20/AL$2</f>
        <v/>
      </c>
      <c r="BT20" s="51">
        <f>AM20/AM$2</f>
        <v/>
      </c>
      <c r="BU20" s="51">
        <f>AN20/AN$2</f>
        <v/>
      </c>
      <c r="BV20" s="51">
        <f>AO20/AO$2</f>
        <v/>
      </c>
      <c r="BW20" s="51">
        <f>AP20/AP$2</f>
        <v/>
      </c>
      <c r="BX20" s="51">
        <f>AQ20/AQ$2</f>
        <v/>
      </c>
      <c r="BY20" s="51">
        <f>AR20/AR$2</f>
        <v/>
      </c>
      <c r="BZ20" s="51">
        <f>AS20/AS$2</f>
        <v/>
      </c>
      <c r="CA20" s="51">
        <f>AT20/AT$2</f>
        <v/>
      </c>
      <c r="CB20" s="51">
        <f>AU20/AU$2</f>
        <v/>
      </c>
      <c r="CC20" s="51">
        <f>AV20/AV$2</f>
        <v/>
      </c>
      <c r="CD20" s="51">
        <f>AW20/AW$2</f>
        <v/>
      </c>
      <c r="CE20" s="51">
        <f>AX20/AX$2</f>
        <v/>
      </c>
      <c r="CF20" s="51">
        <f>AY20/AY$2</f>
        <v/>
      </c>
      <c r="CG20" s="51">
        <f>AZ20/AZ$2</f>
        <v/>
      </c>
      <c r="CH20" s="51">
        <f>BA20/BA$2</f>
        <v/>
      </c>
      <c r="CI20" s="51">
        <f>BB20/BB$2</f>
        <v/>
      </c>
      <c r="CJ20" s="51">
        <f>BC20/BC$2</f>
        <v/>
      </c>
      <c r="CK20" s="51">
        <f>BD20/BD$2</f>
        <v/>
      </c>
      <c r="CL20" s="51">
        <f>BE20/BE$2</f>
        <v/>
      </c>
      <c r="CM20" s="51">
        <f>BF20/BF$2</f>
        <v/>
      </c>
      <c r="CN20" s="51">
        <f>BG20/BG$2</f>
        <v/>
      </c>
      <c r="CO20" s="51">
        <f>BH20/BH$2</f>
        <v/>
      </c>
      <c r="CP20" s="51">
        <f>BI20/BI$2</f>
        <v/>
      </c>
      <c r="CQ20" s="51">
        <f>BJ20/BJ$2</f>
        <v/>
      </c>
      <c r="CR20" s="51">
        <f>BK20/BK$2</f>
        <v/>
      </c>
      <c r="CS20" s="51" t="n"/>
      <c r="CT20" s="51" t="n"/>
      <c r="CU20" s="23" t="n"/>
      <c r="CV20" s="13" t="inlineStr">
        <is>
          <t>ADI</t>
        </is>
      </c>
      <c r="CW20" s="23" t="n">
        <v>0</v>
      </c>
      <c r="CY20" s="13" t="inlineStr">
        <is>
          <t>ADI</t>
        </is>
      </c>
      <c r="CZ20" s="18">
        <f>CW20+B20</f>
        <v/>
      </c>
      <c r="DA20" s="18">
        <f>CZ20+C20</f>
        <v/>
      </c>
      <c r="DB20" s="18">
        <f>DA20+D20</f>
        <v/>
      </c>
      <c r="DC20" s="18">
        <f>DB20+E20</f>
        <v/>
      </c>
      <c r="DD20" s="18">
        <f>DC20+F20</f>
        <v/>
      </c>
      <c r="DE20" s="18">
        <f>DD20+G20</f>
        <v/>
      </c>
      <c r="DF20" s="18">
        <f>DE20+H20</f>
        <v/>
      </c>
      <c r="DG20" s="18">
        <f>DF20+I20</f>
        <v/>
      </c>
      <c r="DH20" s="18">
        <f>DG20+J20</f>
        <v/>
      </c>
      <c r="DI20" s="18">
        <f>DH20+K20</f>
        <v/>
      </c>
      <c r="DJ20" s="18">
        <f>DI20+L20</f>
        <v/>
      </c>
      <c r="DK20" s="18">
        <f>DJ20+M20</f>
        <v/>
      </c>
      <c r="DL20" s="18">
        <f>DK20+N20</f>
        <v/>
      </c>
      <c r="DM20" s="18">
        <f>DL20+O20</f>
        <v/>
      </c>
      <c r="DN20" s="18">
        <f>DM20+P20</f>
        <v/>
      </c>
      <c r="DO20" s="18">
        <f>DN20+Q20</f>
        <v/>
      </c>
      <c r="DP20" s="18">
        <f>DO20+R20</f>
        <v/>
      </c>
      <c r="DQ20" s="18">
        <f>DP20+S20</f>
        <v/>
      </c>
      <c r="DR20" s="18">
        <f>DQ20+T20</f>
        <v/>
      </c>
      <c r="DS20" s="18">
        <f>DR20+U20</f>
        <v/>
      </c>
      <c r="DT20" s="18">
        <f>DS20+V20</f>
        <v/>
      </c>
      <c r="DU20" s="18">
        <f>DT20+W20</f>
        <v/>
      </c>
      <c r="DV20" s="18">
        <f>DU20+X20</f>
        <v/>
      </c>
      <c r="DW20" s="18">
        <f>DV20+Y20</f>
        <v/>
      </c>
      <c r="DX20" s="18">
        <f>DW20+Z20</f>
        <v/>
      </c>
      <c r="DY20" s="18">
        <f>DX20+AA20</f>
        <v/>
      </c>
      <c r="DZ20" s="18">
        <f>DY20+AB20</f>
        <v/>
      </c>
      <c r="EA20" s="18">
        <f>DZ20+AC20</f>
        <v/>
      </c>
      <c r="EB20" s="18">
        <f>EA20+AD20</f>
        <v/>
      </c>
      <c r="EC20" s="18" t="n"/>
      <c r="ED20" s="18" t="n"/>
      <c r="EF20" s="13" t="inlineStr">
        <is>
          <t>ADI</t>
        </is>
      </c>
      <c r="EG20" s="51">
        <f>CZ20/EG$2</f>
        <v/>
      </c>
      <c r="EH20" s="51">
        <f>DA20/EH$2</f>
        <v/>
      </c>
      <c r="EI20" s="51">
        <f>DB20/EI$2</f>
        <v/>
      </c>
      <c r="EJ20" s="51">
        <f>DC20/EJ$2</f>
        <v/>
      </c>
      <c r="EK20" s="51">
        <f>DD20/EK$2</f>
        <v/>
      </c>
      <c r="EL20" s="51">
        <f>DE20/EL$2</f>
        <v/>
      </c>
      <c r="EM20" s="51">
        <f>DF20/EM$2</f>
        <v/>
      </c>
      <c r="EN20" s="51">
        <f>DG20/EN$2</f>
        <v/>
      </c>
      <c r="EO20" s="51">
        <f>DH20/EO$2</f>
        <v/>
      </c>
      <c r="EP20" s="51">
        <f>DI20/EP$2</f>
        <v/>
      </c>
      <c r="EQ20" s="51">
        <f>DJ20/EQ$2</f>
        <v/>
      </c>
      <c r="ER20" s="51">
        <f>DK20/ER$2</f>
        <v/>
      </c>
      <c r="ES20" s="51">
        <f>DL20/ES$2</f>
        <v/>
      </c>
      <c r="ET20" s="51">
        <f>DM20/ET$2</f>
        <v/>
      </c>
      <c r="EU20" s="51">
        <f>DN20/EU$2</f>
        <v/>
      </c>
      <c r="EV20" s="51">
        <f>DO20/EV$2</f>
        <v/>
      </c>
      <c r="EW20" s="51">
        <f>DP20/EW$2</f>
        <v/>
      </c>
      <c r="EX20" s="51">
        <f>DQ20/EX$2</f>
        <v/>
      </c>
      <c r="EY20" s="51">
        <f>DR20/EY$2</f>
        <v/>
      </c>
      <c r="EZ20" s="51">
        <f>DS20/EZ$2</f>
        <v/>
      </c>
      <c r="FA20" s="51">
        <f>DT20/FA$2</f>
        <v/>
      </c>
      <c r="FB20" s="51">
        <f>DU20/FB$2</f>
        <v/>
      </c>
      <c r="FC20" s="51">
        <f>DV20/FC$2</f>
        <v/>
      </c>
      <c r="FD20" s="51">
        <f>DW20/FD$2</f>
        <v/>
      </c>
      <c r="FE20" s="51">
        <f>DX20/FE$2</f>
        <v/>
      </c>
      <c r="FF20" s="51">
        <f>DY20/FF$2</f>
        <v/>
      </c>
      <c r="FG20" s="51">
        <f>DZ20/FG$2</f>
        <v/>
      </c>
      <c r="FH20" s="51">
        <f>EA20/FH$2</f>
        <v/>
      </c>
      <c r="FI20" s="51">
        <f>EB20/FI$2</f>
        <v/>
      </c>
      <c r="FJ20" s="51" t="n"/>
      <c r="FK20" s="51" t="n"/>
    </row>
    <row r="21" ht="15.75" customHeight="1">
      <c r="A21" s="13" t="inlineStr">
        <is>
          <t>GIMB</t>
        </is>
      </c>
      <c r="B21" s="18">
        <f>'1'!$D22</f>
        <v/>
      </c>
      <c r="C21" s="18">
        <f>'2'!$D22</f>
        <v/>
      </c>
      <c r="D21" s="18">
        <f>'3'!$D22</f>
        <v/>
      </c>
      <c r="E21" s="18">
        <f>'4'!$D22</f>
        <v/>
      </c>
      <c r="F21" s="18">
        <f>'5'!$D22</f>
        <v/>
      </c>
      <c r="G21" s="18">
        <f>'6'!$D22</f>
        <v/>
      </c>
      <c r="H21" s="18">
        <f>'7'!$D22</f>
        <v/>
      </c>
      <c r="I21" s="18">
        <f>'8'!$D22</f>
        <v/>
      </c>
      <c r="J21" s="18">
        <f>'9'!$D22</f>
        <v/>
      </c>
      <c r="K21" s="18">
        <f>'10'!$D22</f>
        <v/>
      </c>
      <c r="L21" s="18">
        <f>'11'!$D22</f>
        <v/>
      </c>
      <c r="M21" s="18">
        <f>'12'!$D22</f>
        <v/>
      </c>
      <c r="N21" s="18">
        <f>'13'!$D22</f>
        <v/>
      </c>
      <c r="O21" s="18">
        <f>'14'!$D22</f>
        <v/>
      </c>
      <c r="P21" s="18">
        <f>'15'!$D22</f>
        <v/>
      </c>
      <c r="Q21" s="18">
        <f>'16'!$D22</f>
        <v/>
      </c>
      <c r="R21" s="18">
        <f>'17'!$D22</f>
        <v/>
      </c>
      <c r="S21" s="18">
        <f>'18'!$D22</f>
        <v/>
      </c>
      <c r="T21" s="18">
        <f>'19'!$D22</f>
        <v/>
      </c>
      <c r="U21" s="18">
        <f>'20'!$D22</f>
        <v/>
      </c>
      <c r="V21" s="18">
        <f>'21'!$D22</f>
        <v/>
      </c>
      <c r="W21" s="18">
        <f>'22'!$D22</f>
        <v/>
      </c>
      <c r="X21" s="18">
        <f>'23'!$D22</f>
        <v/>
      </c>
      <c r="Y21" s="18">
        <f>'24'!$D22</f>
        <v/>
      </c>
      <c r="Z21" s="18">
        <f>'25'!$D22</f>
        <v/>
      </c>
      <c r="AA21" s="18">
        <f>'26'!$D22</f>
        <v/>
      </c>
      <c r="AB21" s="18">
        <f>'27'!$D22</f>
        <v/>
      </c>
      <c r="AC21" s="18">
        <f>'28'!$D22</f>
        <v/>
      </c>
      <c r="AD21" s="18">
        <f>'29'!$D22</f>
        <v/>
      </c>
      <c r="AE21" s="18" t="n"/>
      <c r="AF21" s="22" t="n"/>
      <c r="AH21" s="13" t="inlineStr">
        <is>
          <t>GIMB</t>
        </is>
      </c>
      <c r="AI21" s="18">
        <f>B21</f>
        <v/>
      </c>
      <c r="AJ21" s="18">
        <f>AI21+C21</f>
        <v/>
      </c>
      <c r="AK21" s="18">
        <f>AJ21+D21</f>
        <v/>
      </c>
      <c r="AL21" s="18">
        <f>AK21+E21</f>
        <v/>
      </c>
      <c r="AM21" s="18">
        <f>AL21+F21</f>
        <v/>
      </c>
      <c r="AN21" s="18">
        <f>AM21+G21</f>
        <v/>
      </c>
      <c r="AO21" s="18">
        <f>AN21+H21</f>
        <v/>
      </c>
      <c r="AP21" s="18">
        <f>AO21+I21</f>
        <v/>
      </c>
      <c r="AQ21" s="18">
        <f>AP21+J21</f>
        <v/>
      </c>
      <c r="AR21" s="18">
        <f>AQ21+K21</f>
        <v/>
      </c>
      <c r="AS21" s="18">
        <f>AR21+L21</f>
        <v/>
      </c>
      <c r="AT21" s="18">
        <f>AS21+M21</f>
        <v/>
      </c>
      <c r="AU21" s="18">
        <f>AT21+N21</f>
        <v/>
      </c>
      <c r="AV21" s="18">
        <f>AU21+O21</f>
        <v/>
      </c>
      <c r="AW21" s="18">
        <f>AV21+P21</f>
        <v/>
      </c>
      <c r="AX21" s="18">
        <f>AW21+Q21</f>
        <v/>
      </c>
      <c r="AY21" s="18">
        <f>AX21+R21</f>
        <v/>
      </c>
      <c r="AZ21" s="18">
        <f>AY21+S21</f>
        <v/>
      </c>
      <c r="BA21" s="18">
        <f>AZ21+T21</f>
        <v/>
      </c>
      <c r="BB21" s="18">
        <f>BA21+U21</f>
        <v/>
      </c>
      <c r="BC21" s="18">
        <f>BB21+V21</f>
        <v/>
      </c>
      <c r="BD21" s="18">
        <f>BC21+W21</f>
        <v/>
      </c>
      <c r="BE21" s="18">
        <f>BD21+X21</f>
        <v/>
      </c>
      <c r="BF21" s="18">
        <f>BE21+Y21</f>
        <v/>
      </c>
      <c r="BG21" s="18">
        <f>BF21+Z21</f>
        <v/>
      </c>
      <c r="BH21" s="18">
        <f>BG21+AA21</f>
        <v/>
      </c>
      <c r="BI21" s="18">
        <f>BH21+AB21</f>
        <v/>
      </c>
      <c r="BJ21" s="18">
        <f>BI21+AC21</f>
        <v/>
      </c>
      <c r="BK21" s="18">
        <f>BJ21+AD21</f>
        <v/>
      </c>
      <c r="BL21" s="18" t="n"/>
      <c r="BM21" s="18" t="n"/>
      <c r="BO21" s="13" t="inlineStr">
        <is>
          <t>GIMB</t>
        </is>
      </c>
      <c r="BP21" s="51">
        <f>AI21/AI$2</f>
        <v/>
      </c>
      <c r="BQ21" s="51">
        <f>AJ21/AJ$2</f>
        <v/>
      </c>
      <c r="BR21" s="51">
        <f>AK21/AK$2</f>
        <v/>
      </c>
      <c r="BS21" s="51">
        <f>AL21/AL$2</f>
        <v/>
      </c>
      <c r="BT21" s="51">
        <f>AM21/AM$2</f>
        <v/>
      </c>
      <c r="BU21" s="51">
        <f>AN21/AN$2</f>
        <v/>
      </c>
      <c r="BV21" s="51">
        <f>AO21/AO$2</f>
        <v/>
      </c>
      <c r="BW21" s="51">
        <f>AP21/AP$2</f>
        <v/>
      </c>
      <c r="BX21" s="51">
        <f>AQ21/AQ$2</f>
        <v/>
      </c>
      <c r="BY21" s="51">
        <f>AR21/AR$2</f>
        <v/>
      </c>
      <c r="BZ21" s="51">
        <f>AS21/AS$2</f>
        <v/>
      </c>
      <c r="CA21" s="51">
        <f>AT21/AT$2</f>
        <v/>
      </c>
      <c r="CB21" s="51">
        <f>AU21/AU$2</f>
        <v/>
      </c>
      <c r="CC21" s="51">
        <f>AV21/AV$2</f>
        <v/>
      </c>
      <c r="CD21" s="51">
        <f>AW21/AW$2</f>
        <v/>
      </c>
      <c r="CE21" s="51">
        <f>AX21/AX$2</f>
        <v/>
      </c>
      <c r="CF21" s="51">
        <f>AY21/AY$2</f>
        <v/>
      </c>
      <c r="CG21" s="51">
        <f>AZ21/AZ$2</f>
        <v/>
      </c>
      <c r="CH21" s="51">
        <f>BA21/BA$2</f>
        <v/>
      </c>
      <c r="CI21" s="51">
        <f>BB21/BB$2</f>
        <v/>
      </c>
      <c r="CJ21" s="51">
        <f>BC21/BC$2</f>
        <v/>
      </c>
      <c r="CK21" s="51">
        <f>BD21/BD$2</f>
        <v/>
      </c>
      <c r="CL21" s="51">
        <f>BE21/BE$2</f>
        <v/>
      </c>
      <c r="CM21" s="51">
        <f>BF21/BF$2</f>
        <v/>
      </c>
      <c r="CN21" s="51">
        <f>BG21/BG$2</f>
        <v/>
      </c>
      <c r="CO21" s="51">
        <f>BH21/BH$2</f>
        <v/>
      </c>
      <c r="CP21" s="51">
        <f>BI21/BI$2</f>
        <v/>
      </c>
      <c r="CQ21" s="51">
        <f>BJ21/BJ$2</f>
        <v/>
      </c>
      <c r="CR21" s="51">
        <f>BK21/BK$2</f>
        <v/>
      </c>
      <c r="CS21" s="51" t="n"/>
      <c r="CT21" s="51" t="n"/>
      <c r="CU21" s="23" t="n"/>
      <c r="CV21" s="13" t="inlineStr">
        <is>
          <t>GIMB</t>
        </is>
      </c>
      <c r="CW21" s="23" t="n">
        <v>0</v>
      </c>
      <c r="CY21" s="13" t="inlineStr">
        <is>
          <t>GIMB</t>
        </is>
      </c>
      <c r="CZ21" s="18">
        <f>CW21+B21</f>
        <v/>
      </c>
      <c r="DA21" s="18">
        <f>CZ21+C21</f>
        <v/>
      </c>
      <c r="DB21" s="18">
        <f>DA21+D21</f>
        <v/>
      </c>
      <c r="DC21" s="18">
        <f>DB21+E21</f>
        <v/>
      </c>
      <c r="DD21" s="18">
        <f>DC21+F21</f>
        <v/>
      </c>
      <c r="DE21" s="18">
        <f>DD21+G21</f>
        <v/>
      </c>
      <c r="DF21" s="18">
        <f>DE21+H21</f>
        <v/>
      </c>
      <c r="DG21" s="18">
        <f>DF21+I21</f>
        <v/>
      </c>
      <c r="DH21" s="18">
        <f>DG21+J21</f>
        <v/>
      </c>
      <c r="DI21" s="18">
        <f>DH21+K21</f>
        <v/>
      </c>
      <c r="DJ21" s="18">
        <f>DI21+L21</f>
        <v/>
      </c>
      <c r="DK21" s="18">
        <f>DJ21+M21</f>
        <v/>
      </c>
      <c r="DL21" s="18">
        <f>DK21+N21</f>
        <v/>
      </c>
      <c r="DM21" s="18">
        <f>DL21+O21</f>
        <v/>
      </c>
      <c r="DN21" s="18">
        <f>DM21+P21</f>
        <v/>
      </c>
      <c r="DO21" s="18">
        <f>DN21+Q21</f>
        <v/>
      </c>
      <c r="DP21" s="18">
        <f>DO21+R21</f>
        <v/>
      </c>
      <c r="DQ21" s="18">
        <f>DP21+S21</f>
        <v/>
      </c>
      <c r="DR21" s="18">
        <f>DQ21+T21</f>
        <v/>
      </c>
      <c r="DS21" s="18">
        <f>DR21+U21</f>
        <v/>
      </c>
      <c r="DT21" s="18">
        <f>DS21+V21</f>
        <v/>
      </c>
      <c r="DU21" s="18">
        <f>DT21+W21</f>
        <v/>
      </c>
      <c r="DV21" s="18">
        <f>DU21+X21</f>
        <v/>
      </c>
      <c r="DW21" s="18">
        <f>DV21+Y21</f>
        <v/>
      </c>
      <c r="DX21" s="18">
        <f>DW21+Z21</f>
        <v/>
      </c>
      <c r="DY21" s="18">
        <f>DX21+AA21</f>
        <v/>
      </c>
      <c r="DZ21" s="18">
        <f>DY21+AB21</f>
        <v/>
      </c>
      <c r="EA21" s="18">
        <f>DZ21+AC21</f>
        <v/>
      </c>
      <c r="EB21" s="18">
        <f>EA21+AD21</f>
        <v/>
      </c>
      <c r="EC21" s="18" t="n"/>
      <c r="ED21" s="18" t="n"/>
      <c r="EF21" s="13" t="inlineStr">
        <is>
          <t>GIMB</t>
        </is>
      </c>
      <c r="EG21" s="51">
        <f>CZ21/EG$2</f>
        <v/>
      </c>
      <c r="EH21" s="51">
        <f>DA21/EH$2</f>
        <v/>
      </c>
      <c r="EI21" s="51">
        <f>DB21/EI$2</f>
        <v/>
      </c>
      <c r="EJ21" s="51">
        <f>DC21/EJ$2</f>
        <v/>
      </c>
      <c r="EK21" s="51">
        <f>DD21/EK$2</f>
        <v/>
      </c>
      <c r="EL21" s="51">
        <f>DE21/EL$2</f>
        <v/>
      </c>
      <c r="EM21" s="51">
        <f>DF21/EM$2</f>
        <v/>
      </c>
      <c r="EN21" s="51">
        <f>DG21/EN$2</f>
        <v/>
      </c>
      <c r="EO21" s="51">
        <f>DH21/EO$2</f>
        <v/>
      </c>
      <c r="EP21" s="51">
        <f>DI21/EP$2</f>
        <v/>
      </c>
      <c r="EQ21" s="51">
        <f>DJ21/EQ$2</f>
        <v/>
      </c>
      <c r="ER21" s="51">
        <f>DK21/ER$2</f>
        <v/>
      </c>
      <c r="ES21" s="51">
        <f>DL21/ES$2</f>
        <v/>
      </c>
      <c r="ET21" s="51">
        <f>DM21/ET$2</f>
        <v/>
      </c>
      <c r="EU21" s="51">
        <f>DN21/EU$2</f>
        <v/>
      </c>
      <c r="EV21" s="51">
        <f>DO21/EV$2</f>
        <v/>
      </c>
      <c r="EW21" s="51">
        <f>DP21/EW$2</f>
        <v/>
      </c>
      <c r="EX21" s="51">
        <f>DQ21/EX$2</f>
        <v/>
      </c>
      <c r="EY21" s="51">
        <f>DR21/EY$2</f>
        <v/>
      </c>
      <c r="EZ21" s="51">
        <f>DS21/EZ$2</f>
        <v/>
      </c>
      <c r="FA21" s="51">
        <f>DT21/FA$2</f>
        <v/>
      </c>
      <c r="FB21" s="51">
        <f>DU21/FB$2</f>
        <v/>
      </c>
      <c r="FC21" s="51">
        <f>DV21/FC$2</f>
        <v/>
      </c>
      <c r="FD21" s="51">
        <f>DW21/FD$2</f>
        <v/>
      </c>
      <c r="FE21" s="51">
        <f>DX21/FE$2</f>
        <v/>
      </c>
      <c r="FF21" s="51">
        <f>DY21/FF$2</f>
        <v/>
      </c>
      <c r="FG21" s="51">
        <f>DZ21/FG$2</f>
        <v/>
      </c>
      <c r="FH21" s="51">
        <f>EA21/FH$2</f>
        <v/>
      </c>
      <c r="FI21" s="51">
        <f>EB21/FI$2</f>
        <v/>
      </c>
      <c r="FJ21" s="51" t="n"/>
      <c r="FK21" s="51" t="n"/>
    </row>
    <row r="22" ht="15.75" customHeight="1">
      <c r="A22" s="13" t="inlineStr">
        <is>
          <t>BCT</t>
        </is>
      </c>
      <c r="B22" s="18">
        <f>'1'!$D23</f>
        <v/>
      </c>
      <c r="C22" s="18">
        <f>'2'!$D23</f>
        <v/>
      </c>
      <c r="D22" s="18">
        <f>'3'!$D23</f>
        <v/>
      </c>
      <c r="E22" s="18">
        <f>'4'!$D23</f>
        <v/>
      </c>
      <c r="F22" s="18">
        <f>'5'!$D23</f>
        <v/>
      </c>
      <c r="G22" s="18">
        <f>'6'!$D23</f>
        <v/>
      </c>
      <c r="H22" s="18">
        <f>'7'!$D23</f>
        <v/>
      </c>
      <c r="I22" s="18">
        <f>'8'!$D23</f>
        <v/>
      </c>
      <c r="J22" s="18">
        <f>'9'!$D23</f>
        <v/>
      </c>
      <c r="K22" s="18">
        <f>'10'!$D23</f>
        <v/>
      </c>
      <c r="L22" s="18">
        <f>'11'!$D23</f>
        <v/>
      </c>
      <c r="M22" s="18">
        <f>'12'!$D23</f>
        <v/>
      </c>
      <c r="N22" s="18">
        <f>'13'!$D23</f>
        <v/>
      </c>
      <c r="O22" s="18">
        <f>'14'!$D23</f>
        <v/>
      </c>
      <c r="P22" s="18">
        <f>'15'!$D23</f>
        <v/>
      </c>
      <c r="Q22" s="18">
        <f>'16'!$D23</f>
        <v/>
      </c>
      <c r="R22" s="18">
        <f>'17'!$D23</f>
        <v/>
      </c>
      <c r="S22" s="18">
        <f>'18'!$D23</f>
        <v/>
      </c>
      <c r="T22" s="18">
        <f>'19'!$D23</f>
        <v/>
      </c>
      <c r="U22" s="18">
        <f>'20'!$D23</f>
        <v/>
      </c>
      <c r="V22" s="18">
        <f>'21'!$D23</f>
        <v/>
      </c>
      <c r="W22" s="18">
        <f>'22'!$D23</f>
        <v/>
      </c>
      <c r="X22" s="18">
        <f>'23'!$D23</f>
        <v/>
      </c>
      <c r="Y22" s="18">
        <f>'24'!$D23</f>
        <v/>
      </c>
      <c r="Z22" s="18">
        <f>'25'!$D23</f>
        <v/>
      </c>
      <c r="AA22" s="18">
        <f>'26'!$D23</f>
        <v/>
      </c>
      <c r="AB22" s="18">
        <f>'27'!$D23</f>
        <v/>
      </c>
      <c r="AC22" s="18">
        <f>'28'!$D23</f>
        <v/>
      </c>
      <c r="AD22" s="18">
        <f>'29'!$D23</f>
        <v/>
      </c>
      <c r="AE22" s="18" t="n"/>
      <c r="AF22" s="22" t="n"/>
      <c r="AH22" s="13" t="inlineStr">
        <is>
          <t>BCT</t>
        </is>
      </c>
      <c r="AI22" s="18">
        <f>B22</f>
        <v/>
      </c>
      <c r="AJ22" s="18">
        <f>AI22+C22</f>
        <v/>
      </c>
      <c r="AK22" s="18">
        <f>AJ22+D22</f>
        <v/>
      </c>
      <c r="AL22" s="18">
        <f>AK22+E22</f>
        <v/>
      </c>
      <c r="AM22" s="18">
        <f>AL22+F22</f>
        <v/>
      </c>
      <c r="AN22" s="18">
        <f>AM22+G22</f>
        <v/>
      </c>
      <c r="AO22" s="18">
        <f>AN22+H22</f>
        <v/>
      </c>
      <c r="AP22" s="18">
        <f>AO22+I22</f>
        <v/>
      </c>
      <c r="AQ22" s="18">
        <f>AP22+J22</f>
        <v/>
      </c>
      <c r="AR22" s="18">
        <f>AQ22+K22</f>
        <v/>
      </c>
      <c r="AS22" s="18">
        <f>AR22+L22</f>
        <v/>
      </c>
      <c r="AT22" s="18">
        <f>AS22+M22</f>
        <v/>
      </c>
      <c r="AU22" s="18">
        <f>AT22+N22</f>
        <v/>
      </c>
      <c r="AV22" s="18">
        <f>AU22+O22</f>
        <v/>
      </c>
      <c r="AW22" s="18">
        <f>AV22+P22</f>
        <v/>
      </c>
      <c r="AX22" s="18">
        <f>AW22+Q22</f>
        <v/>
      </c>
      <c r="AY22" s="18">
        <f>AX22+R22</f>
        <v/>
      </c>
      <c r="AZ22" s="18">
        <f>AY22+S22</f>
        <v/>
      </c>
      <c r="BA22" s="18">
        <f>AZ22+T22</f>
        <v/>
      </c>
      <c r="BB22" s="18">
        <f>BA22+U22</f>
        <v/>
      </c>
      <c r="BC22" s="18">
        <f>BB22+V22</f>
        <v/>
      </c>
      <c r="BD22" s="18">
        <f>BC22+W22</f>
        <v/>
      </c>
      <c r="BE22" s="18">
        <f>BD22+X22</f>
        <v/>
      </c>
      <c r="BF22" s="18">
        <f>BE22+Y22</f>
        <v/>
      </c>
      <c r="BG22" s="18">
        <f>BF22+Z22</f>
        <v/>
      </c>
      <c r="BH22" s="18">
        <f>BG22+AA22</f>
        <v/>
      </c>
      <c r="BI22" s="18">
        <f>BH22+AB22</f>
        <v/>
      </c>
      <c r="BJ22" s="18">
        <f>BI22+AC22</f>
        <v/>
      </c>
      <c r="BK22" s="18">
        <f>BJ22+AD22</f>
        <v/>
      </c>
      <c r="BL22" s="18" t="n"/>
      <c r="BM22" s="18" t="n"/>
      <c r="BO22" s="13" t="inlineStr">
        <is>
          <t>BCT</t>
        </is>
      </c>
      <c r="BP22" s="51">
        <f>AI22/AI$2</f>
        <v/>
      </c>
      <c r="BQ22" s="51">
        <f>AJ22/AJ$2</f>
        <v/>
      </c>
      <c r="BR22" s="51">
        <f>AK22/AK$2</f>
        <v/>
      </c>
      <c r="BS22" s="51">
        <f>AL22/AL$2</f>
        <v/>
      </c>
      <c r="BT22" s="51">
        <f>AM22/AM$2</f>
        <v/>
      </c>
      <c r="BU22" s="51">
        <f>AN22/AN$2</f>
        <v/>
      </c>
      <c r="BV22" s="51">
        <f>AO22/AO$2</f>
        <v/>
      </c>
      <c r="BW22" s="51">
        <f>AP22/AP$2</f>
        <v/>
      </c>
      <c r="BX22" s="51">
        <f>AQ22/AQ$2</f>
        <v/>
      </c>
      <c r="BY22" s="51">
        <f>AR22/AR$2</f>
        <v/>
      </c>
      <c r="BZ22" s="51">
        <f>AS22/AS$2</f>
        <v/>
      </c>
      <c r="CA22" s="51">
        <f>AT22/AT$2</f>
        <v/>
      </c>
      <c r="CB22" s="51">
        <f>AU22/AU$2</f>
        <v/>
      </c>
      <c r="CC22" s="51">
        <f>AV22/AV$2</f>
        <v/>
      </c>
      <c r="CD22" s="51">
        <f>AW22/AW$2</f>
        <v/>
      </c>
      <c r="CE22" s="51">
        <f>AX22/AX$2</f>
        <v/>
      </c>
      <c r="CF22" s="51">
        <f>AY22/AY$2</f>
        <v/>
      </c>
      <c r="CG22" s="51">
        <f>AZ22/AZ$2</f>
        <v/>
      </c>
      <c r="CH22" s="51">
        <f>BA22/BA$2</f>
        <v/>
      </c>
      <c r="CI22" s="51">
        <f>BB22/BB$2</f>
        <v/>
      </c>
      <c r="CJ22" s="51">
        <f>BC22/BC$2</f>
        <v/>
      </c>
      <c r="CK22" s="51">
        <f>BD22/BD$2</f>
        <v/>
      </c>
      <c r="CL22" s="51">
        <f>BE22/BE$2</f>
        <v/>
      </c>
      <c r="CM22" s="51">
        <f>BF22/BF$2</f>
        <v/>
      </c>
      <c r="CN22" s="51">
        <f>BG22/BG$2</f>
        <v/>
      </c>
      <c r="CO22" s="51">
        <f>BH22/BH$2</f>
        <v/>
      </c>
      <c r="CP22" s="51">
        <f>BI22/BI$2</f>
        <v/>
      </c>
      <c r="CQ22" s="51">
        <f>BJ22/BJ$2</f>
        <v/>
      </c>
      <c r="CR22" s="51">
        <f>BK22/BK$2</f>
        <v/>
      </c>
      <c r="CS22" s="51" t="n"/>
      <c r="CT22" s="51" t="n"/>
      <c r="CU22" s="23" t="n"/>
      <c r="CV22" s="13" t="inlineStr">
        <is>
          <t>BCT</t>
        </is>
      </c>
      <c r="CW22" s="23" t="n">
        <v>0</v>
      </c>
      <c r="CY22" s="13" t="inlineStr">
        <is>
          <t>BCT</t>
        </is>
      </c>
      <c r="CZ22" s="18">
        <f>CW22+B22</f>
        <v/>
      </c>
      <c r="DA22" s="18">
        <f>CZ22+C22</f>
        <v/>
      </c>
      <c r="DB22" s="18">
        <f>DA22+D22</f>
        <v/>
      </c>
      <c r="DC22" s="18">
        <f>DB22+E22</f>
        <v/>
      </c>
      <c r="DD22" s="18">
        <f>DC22+F22</f>
        <v/>
      </c>
      <c r="DE22" s="18">
        <f>DD22+G22</f>
        <v/>
      </c>
      <c r="DF22" s="18">
        <f>DE22+H22</f>
        <v/>
      </c>
      <c r="DG22" s="18">
        <f>DF22+I22</f>
        <v/>
      </c>
      <c r="DH22" s="18">
        <f>DG22+J22</f>
        <v/>
      </c>
      <c r="DI22" s="18">
        <f>DH22+K22</f>
        <v/>
      </c>
      <c r="DJ22" s="18">
        <f>DI22+L22</f>
        <v/>
      </c>
      <c r="DK22" s="18">
        <f>DJ22+M22</f>
        <v/>
      </c>
      <c r="DL22" s="18">
        <f>DK22+N22</f>
        <v/>
      </c>
      <c r="DM22" s="18">
        <f>DL22+O22</f>
        <v/>
      </c>
      <c r="DN22" s="18">
        <f>DM22+P22</f>
        <v/>
      </c>
      <c r="DO22" s="18">
        <f>DN22+Q22</f>
        <v/>
      </c>
      <c r="DP22" s="18">
        <f>DO22+R22</f>
        <v/>
      </c>
      <c r="DQ22" s="18">
        <f>DP22+S22</f>
        <v/>
      </c>
      <c r="DR22" s="18">
        <f>DQ22+T22</f>
        <v/>
      </c>
      <c r="DS22" s="18">
        <f>DR22+U22</f>
        <v/>
      </c>
      <c r="DT22" s="18">
        <f>DS22+V22</f>
        <v/>
      </c>
      <c r="DU22" s="18">
        <f>DT22+W22</f>
        <v/>
      </c>
      <c r="DV22" s="18">
        <f>DU22+X22</f>
        <v/>
      </c>
      <c r="DW22" s="18">
        <f>DV22+Y22</f>
        <v/>
      </c>
      <c r="DX22" s="18">
        <f>DW22+Z22</f>
        <v/>
      </c>
      <c r="DY22" s="18">
        <f>DX22+AA22</f>
        <v/>
      </c>
      <c r="DZ22" s="18">
        <f>DY22+AB22</f>
        <v/>
      </c>
      <c r="EA22" s="18">
        <f>DZ22+AC22</f>
        <v/>
      </c>
      <c r="EB22" s="18">
        <f>EA22+AD22</f>
        <v/>
      </c>
      <c r="EC22" s="18" t="n"/>
      <c r="ED22" s="18" t="n"/>
      <c r="EF22" s="13" t="inlineStr">
        <is>
          <t>BCT</t>
        </is>
      </c>
      <c r="EG22" s="51">
        <f>CZ22/EG$2</f>
        <v/>
      </c>
      <c r="EH22" s="51">
        <f>DA22/EH$2</f>
        <v/>
      </c>
      <c r="EI22" s="51">
        <f>DB22/EI$2</f>
        <v/>
      </c>
      <c r="EJ22" s="51">
        <f>DC22/EJ$2</f>
        <v/>
      </c>
      <c r="EK22" s="51">
        <f>DD22/EK$2</f>
        <v/>
      </c>
      <c r="EL22" s="51">
        <f>DE22/EL$2</f>
        <v/>
      </c>
      <c r="EM22" s="51">
        <f>DF22/EM$2</f>
        <v/>
      </c>
      <c r="EN22" s="51">
        <f>DG22/EN$2</f>
        <v/>
      </c>
      <c r="EO22" s="51">
        <f>DH22/EO$2</f>
        <v/>
      </c>
      <c r="EP22" s="51">
        <f>DI22/EP$2</f>
        <v/>
      </c>
      <c r="EQ22" s="51">
        <f>DJ22/EQ$2</f>
        <v/>
      </c>
      <c r="ER22" s="51">
        <f>DK22/ER$2</f>
        <v/>
      </c>
      <c r="ES22" s="51">
        <f>DL22/ES$2</f>
        <v/>
      </c>
      <c r="ET22" s="51">
        <f>DM22/ET$2</f>
        <v/>
      </c>
      <c r="EU22" s="51">
        <f>DN22/EU$2</f>
        <v/>
      </c>
      <c r="EV22" s="51">
        <f>DO22/EV$2</f>
        <v/>
      </c>
      <c r="EW22" s="51">
        <f>DP22/EW$2</f>
        <v/>
      </c>
      <c r="EX22" s="51">
        <f>DQ22/EX$2</f>
        <v/>
      </c>
      <c r="EY22" s="51">
        <f>DR22/EY$2</f>
        <v/>
      </c>
      <c r="EZ22" s="51">
        <f>DS22/EZ$2</f>
        <v/>
      </c>
      <c r="FA22" s="51">
        <f>DT22/FA$2</f>
        <v/>
      </c>
      <c r="FB22" s="51">
        <f>DU22/FB$2</f>
        <v/>
      </c>
      <c r="FC22" s="51">
        <f>DV22/FC$2</f>
        <v/>
      </c>
      <c r="FD22" s="51">
        <f>DW22/FD$2</f>
        <v/>
      </c>
      <c r="FE22" s="51">
        <f>DX22/FE$2</f>
        <v/>
      </c>
      <c r="FF22" s="51">
        <f>DY22/FF$2</f>
        <v/>
      </c>
      <c r="FG22" s="51">
        <f>DZ22/FG$2</f>
        <v/>
      </c>
      <c r="FH22" s="51">
        <f>EA22/FH$2</f>
        <v/>
      </c>
      <c r="FI22" s="51">
        <f>EB22/FI$2</f>
        <v/>
      </c>
      <c r="FJ22" s="51" t="n"/>
      <c r="FK22" s="51" t="n"/>
    </row>
    <row r="23" ht="15.75" customHeight="1">
      <c r="A23" s="13" t="inlineStr">
        <is>
          <t>BRC</t>
        </is>
      </c>
      <c r="B23" s="18">
        <f>'1'!$D24</f>
        <v/>
      </c>
      <c r="C23" s="18">
        <f>'2'!$D24</f>
        <v/>
      </c>
      <c r="D23" s="18">
        <f>'3'!$D24</f>
        <v/>
      </c>
      <c r="E23" s="18">
        <f>'4'!$D24</f>
        <v/>
      </c>
      <c r="F23" s="18">
        <f>'5'!$D24</f>
        <v/>
      </c>
      <c r="G23" s="18">
        <f>'6'!$D24</f>
        <v/>
      </c>
      <c r="H23" s="18">
        <f>'7'!$D24</f>
        <v/>
      </c>
      <c r="I23" s="18">
        <f>'8'!$D24</f>
        <v/>
      </c>
      <c r="J23" s="18">
        <f>'9'!$D24</f>
        <v/>
      </c>
      <c r="K23" s="18">
        <f>'10'!$D24</f>
        <v/>
      </c>
      <c r="L23" s="18">
        <f>'11'!$D24</f>
        <v/>
      </c>
      <c r="M23" s="18">
        <f>'12'!$D24</f>
        <v/>
      </c>
      <c r="N23" s="18">
        <f>'13'!$D24</f>
        <v/>
      </c>
      <c r="O23" s="18">
        <f>'14'!$D24</f>
        <v/>
      </c>
      <c r="P23" s="18">
        <f>'15'!$D24</f>
        <v/>
      </c>
      <c r="Q23" s="18">
        <f>'16'!$D24</f>
        <v/>
      </c>
      <c r="R23" s="18">
        <f>'17'!$D24</f>
        <v/>
      </c>
      <c r="S23" s="18">
        <f>'18'!$D24</f>
        <v/>
      </c>
      <c r="T23" s="18">
        <f>'19'!$D24</f>
        <v/>
      </c>
      <c r="U23" s="18">
        <f>'20'!$D24</f>
        <v/>
      </c>
      <c r="V23" s="18">
        <f>'21'!$D24</f>
        <v/>
      </c>
      <c r="W23" s="18">
        <f>'22'!$D24</f>
        <v/>
      </c>
      <c r="X23" s="18">
        <f>'23'!$D24</f>
        <v/>
      </c>
      <c r="Y23" s="18">
        <f>'24'!$D24</f>
        <v/>
      </c>
      <c r="Z23" s="18">
        <f>'25'!$D24</f>
        <v/>
      </c>
      <c r="AA23" s="18">
        <f>'26'!$D24</f>
        <v/>
      </c>
      <c r="AB23" s="18">
        <f>'27'!$D24</f>
        <v/>
      </c>
      <c r="AC23" s="18">
        <f>'28'!$D24</f>
        <v/>
      </c>
      <c r="AD23" s="18">
        <f>'29'!$D24</f>
        <v/>
      </c>
      <c r="AE23" s="18" t="n"/>
      <c r="AF23" s="22" t="n"/>
      <c r="AH23" s="13" t="inlineStr">
        <is>
          <t>BRC</t>
        </is>
      </c>
      <c r="AI23" s="18">
        <f>B23</f>
        <v/>
      </c>
      <c r="AJ23" s="18">
        <f>AI23+C23</f>
        <v/>
      </c>
      <c r="AK23" s="18">
        <f>AJ23+D23</f>
        <v/>
      </c>
      <c r="AL23" s="18">
        <f>AK23+E23</f>
        <v/>
      </c>
      <c r="AM23" s="18">
        <f>AL23+F23</f>
        <v/>
      </c>
      <c r="AN23" s="18">
        <f>AM23+G23</f>
        <v/>
      </c>
      <c r="AO23" s="18">
        <f>AN23+H23</f>
        <v/>
      </c>
      <c r="AP23" s="18">
        <f>AO23+I23</f>
        <v/>
      </c>
      <c r="AQ23" s="18">
        <f>AP23+J23</f>
        <v/>
      </c>
      <c r="AR23" s="18">
        <f>AQ23+K23</f>
        <v/>
      </c>
      <c r="AS23" s="18">
        <f>AR23+L23</f>
        <v/>
      </c>
      <c r="AT23" s="18">
        <f>AS23+M23</f>
        <v/>
      </c>
      <c r="AU23" s="18">
        <f>AT23+N23</f>
        <v/>
      </c>
      <c r="AV23" s="18">
        <f>AU23+O23</f>
        <v/>
      </c>
      <c r="AW23" s="18">
        <f>AV23+P23</f>
        <v/>
      </c>
      <c r="AX23" s="18">
        <f>AW23+Q23</f>
        <v/>
      </c>
      <c r="AY23" s="18">
        <f>AX23+R23</f>
        <v/>
      </c>
      <c r="AZ23" s="18">
        <f>AY23+S23</f>
        <v/>
      </c>
      <c r="BA23" s="18">
        <f>AZ23+T23</f>
        <v/>
      </c>
      <c r="BB23" s="18">
        <f>BA23+U23</f>
        <v/>
      </c>
      <c r="BC23" s="18">
        <f>BB23+V23</f>
        <v/>
      </c>
      <c r="BD23" s="18">
        <f>BC23+W23</f>
        <v/>
      </c>
      <c r="BE23" s="18">
        <f>BD23+X23</f>
        <v/>
      </c>
      <c r="BF23" s="18">
        <f>BE23+Y23</f>
        <v/>
      </c>
      <c r="BG23" s="18">
        <f>BF23+Z23</f>
        <v/>
      </c>
      <c r="BH23" s="18">
        <f>BG23+AA23</f>
        <v/>
      </c>
      <c r="BI23" s="18">
        <f>BH23+AB23</f>
        <v/>
      </c>
      <c r="BJ23" s="18">
        <f>BI23+AC23</f>
        <v/>
      </c>
      <c r="BK23" s="18">
        <f>BJ23+AD23</f>
        <v/>
      </c>
      <c r="BL23" s="18" t="n"/>
      <c r="BM23" s="18" t="n"/>
      <c r="BO23" s="13" t="inlineStr">
        <is>
          <t>BRC</t>
        </is>
      </c>
      <c r="BP23" s="51">
        <f>AI23/AI$2</f>
        <v/>
      </c>
      <c r="BQ23" s="51">
        <f>AJ23/AJ$2</f>
        <v/>
      </c>
      <c r="BR23" s="51">
        <f>AK23/AK$2</f>
        <v/>
      </c>
      <c r="BS23" s="51">
        <f>AL23/AL$2</f>
        <v/>
      </c>
      <c r="BT23" s="51">
        <f>AM23/AM$2</f>
        <v/>
      </c>
      <c r="BU23" s="51">
        <f>AN23/AN$2</f>
        <v/>
      </c>
      <c r="BV23" s="51">
        <f>AO23/AO$2</f>
        <v/>
      </c>
      <c r="BW23" s="51">
        <f>AP23/AP$2</f>
        <v/>
      </c>
      <c r="BX23" s="51">
        <f>AQ23/AQ$2</f>
        <v/>
      </c>
      <c r="BY23" s="51">
        <f>AR23/AR$2</f>
        <v/>
      </c>
      <c r="BZ23" s="51">
        <f>AS23/AS$2</f>
        <v/>
      </c>
      <c r="CA23" s="51">
        <f>AT23/AT$2</f>
        <v/>
      </c>
      <c r="CB23" s="51">
        <f>AU23/AU$2</f>
        <v/>
      </c>
      <c r="CC23" s="51">
        <f>AV23/AV$2</f>
        <v/>
      </c>
      <c r="CD23" s="51">
        <f>AW23/AW$2</f>
        <v/>
      </c>
      <c r="CE23" s="51">
        <f>AX23/AX$2</f>
        <v/>
      </c>
      <c r="CF23" s="51">
        <f>AY23/AY$2</f>
        <v/>
      </c>
      <c r="CG23" s="51">
        <f>AZ23/AZ$2</f>
        <v/>
      </c>
      <c r="CH23" s="51">
        <f>BA23/BA$2</f>
        <v/>
      </c>
      <c r="CI23" s="51">
        <f>BB23/BB$2</f>
        <v/>
      </c>
      <c r="CJ23" s="51">
        <f>BC23/BC$2</f>
        <v/>
      </c>
      <c r="CK23" s="51">
        <f>BD23/BD$2</f>
        <v/>
      </c>
      <c r="CL23" s="51">
        <f>BE23/BE$2</f>
        <v/>
      </c>
      <c r="CM23" s="51">
        <f>BF23/BF$2</f>
        <v/>
      </c>
      <c r="CN23" s="51">
        <f>BG23/BG$2</f>
        <v/>
      </c>
      <c r="CO23" s="51">
        <f>BH23/BH$2</f>
        <v/>
      </c>
      <c r="CP23" s="51">
        <f>BI23/BI$2</f>
        <v/>
      </c>
      <c r="CQ23" s="51">
        <f>BJ23/BJ$2</f>
        <v/>
      </c>
      <c r="CR23" s="51">
        <f>BK23/BK$2</f>
        <v/>
      </c>
      <c r="CS23" s="51" t="n"/>
      <c r="CT23" s="51" t="n"/>
      <c r="CU23" s="23" t="n"/>
      <c r="CV23" s="13" t="inlineStr">
        <is>
          <t>BRC</t>
        </is>
      </c>
      <c r="CW23" s="23" t="n">
        <v>0</v>
      </c>
      <c r="CY23" s="13" t="inlineStr">
        <is>
          <t>BRC</t>
        </is>
      </c>
      <c r="CZ23" s="18">
        <f>CW23+B23</f>
        <v/>
      </c>
      <c r="DA23" s="18">
        <f>CZ23+C23</f>
        <v/>
      </c>
      <c r="DB23" s="18">
        <f>DA23+D23</f>
        <v/>
      </c>
      <c r="DC23" s="18">
        <f>DB23+E23</f>
        <v/>
      </c>
      <c r="DD23" s="18">
        <f>DC23+F23</f>
        <v/>
      </c>
      <c r="DE23" s="18">
        <f>DD23+G23</f>
        <v/>
      </c>
      <c r="DF23" s="18">
        <f>DE23+H23</f>
        <v/>
      </c>
      <c r="DG23" s="18">
        <f>DF23+I23</f>
        <v/>
      </c>
      <c r="DH23" s="18">
        <f>DG23+J23</f>
        <v/>
      </c>
      <c r="DI23" s="18">
        <f>DH23+K23</f>
        <v/>
      </c>
      <c r="DJ23" s="18">
        <f>DI23+L23</f>
        <v/>
      </c>
      <c r="DK23" s="18">
        <f>DJ23+M23</f>
        <v/>
      </c>
      <c r="DL23" s="18">
        <f>DK23+N23</f>
        <v/>
      </c>
      <c r="DM23" s="18">
        <f>DL23+O23</f>
        <v/>
      </c>
      <c r="DN23" s="18">
        <f>DM23+P23</f>
        <v/>
      </c>
      <c r="DO23" s="18">
        <f>DN23+Q23</f>
        <v/>
      </c>
      <c r="DP23" s="18">
        <f>DO23+R23</f>
        <v/>
      </c>
      <c r="DQ23" s="18">
        <f>DP23+S23</f>
        <v/>
      </c>
      <c r="DR23" s="18">
        <f>DQ23+T23</f>
        <v/>
      </c>
      <c r="DS23" s="18">
        <f>DR23+U23</f>
        <v/>
      </c>
      <c r="DT23" s="18">
        <f>DS23+V23</f>
        <v/>
      </c>
      <c r="DU23" s="18">
        <f>DT23+W23</f>
        <v/>
      </c>
      <c r="DV23" s="18">
        <f>DU23+X23</f>
        <v/>
      </c>
      <c r="DW23" s="18">
        <f>DV23+Y23</f>
        <v/>
      </c>
      <c r="DX23" s="18">
        <f>DW23+Z23</f>
        <v/>
      </c>
      <c r="DY23" s="18">
        <f>DX23+AA23</f>
        <v/>
      </c>
      <c r="DZ23" s="18">
        <f>DY23+AB23</f>
        <v/>
      </c>
      <c r="EA23" s="18">
        <f>DZ23+AC23</f>
        <v/>
      </c>
      <c r="EB23" s="18">
        <f>EA23+AD23</f>
        <v/>
      </c>
      <c r="EC23" s="18" t="n"/>
      <c r="ED23" s="18" t="n"/>
      <c r="EF23" s="13" t="inlineStr">
        <is>
          <t>BRC</t>
        </is>
      </c>
      <c r="EG23" s="51">
        <f>CZ23/EG$2</f>
        <v/>
      </c>
      <c r="EH23" s="51">
        <f>DA23/EH$2</f>
        <v/>
      </c>
      <c r="EI23" s="51">
        <f>DB23/EI$2</f>
        <v/>
      </c>
      <c r="EJ23" s="51">
        <f>DC23/EJ$2</f>
        <v/>
      </c>
      <c r="EK23" s="51">
        <f>DD23/EK$2</f>
        <v/>
      </c>
      <c r="EL23" s="51">
        <f>DE23/EL$2</f>
        <v/>
      </c>
      <c r="EM23" s="51">
        <f>DF23/EM$2</f>
        <v/>
      </c>
      <c r="EN23" s="51">
        <f>DG23/EN$2</f>
        <v/>
      </c>
      <c r="EO23" s="51">
        <f>DH23/EO$2</f>
        <v/>
      </c>
      <c r="EP23" s="51">
        <f>DI23/EP$2</f>
        <v/>
      </c>
      <c r="EQ23" s="51">
        <f>DJ23/EQ$2</f>
        <v/>
      </c>
      <c r="ER23" s="51">
        <f>DK23/ER$2</f>
        <v/>
      </c>
      <c r="ES23" s="51">
        <f>DL23/ES$2</f>
        <v/>
      </c>
      <c r="ET23" s="51">
        <f>DM23/ET$2</f>
        <v/>
      </c>
      <c r="EU23" s="51">
        <f>DN23/EU$2</f>
        <v/>
      </c>
      <c r="EV23" s="51">
        <f>DO23/EV$2</f>
        <v/>
      </c>
      <c r="EW23" s="51">
        <f>DP23/EW$2</f>
        <v/>
      </c>
      <c r="EX23" s="51">
        <f>DQ23/EX$2</f>
        <v/>
      </c>
      <c r="EY23" s="51">
        <f>DR23/EY$2</f>
        <v/>
      </c>
      <c r="EZ23" s="51">
        <f>DS23/EZ$2</f>
        <v/>
      </c>
      <c r="FA23" s="51">
        <f>DT23/FA$2</f>
        <v/>
      </c>
      <c r="FB23" s="51">
        <f>DU23/FB$2</f>
        <v/>
      </c>
      <c r="FC23" s="51">
        <f>DV23/FC$2</f>
        <v/>
      </c>
      <c r="FD23" s="51">
        <f>DW23/FD$2</f>
        <v/>
      </c>
      <c r="FE23" s="51">
        <f>DX23/FE$2</f>
        <v/>
      </c>
      <c r="FF23" s="51">
        <f>DY23/FF$2</f>
        <v/>
      </c>
      <c r="FG23" s="51">
        <f>DZ23/FG$2</f>
        <v/>
      </c>
      <c r="FH23" s="51">
        <f>EA23/FH$2</f>
        <v/>
      </c>
      <c r="FI23" s="51">
        <f>EB23/FI$2</f>
        <v/>
      </c>
      <c r="FJ23" s="51" t="n"/>
      <c r="FK23" s="51" t="n"/>
    </row>
    <row r="24" ht="15.75" customHeight="1">
      <c r="A24" s="13" t="inlineStr">
        <is>
          <t>RJT</t>
        </is>
      </c>
      <c r="B24" s="18">
        <f>'1'!$D25</f>
        <v/>
      </c>
      <c r="C24" s="18">
        <f>'2'!$D25</f>
        <v/>
      </c>
      <c r="D24" s="18">
        <f>'3'!$D25</f>
        <v/>
      </c>
      <c r="E24" s="18">
        <f>'4'!$D25</f>
        <v/>
      </c>
      <c r="F24" s="18">
        <f>'5'!$D25</f>
        <v/>
      </c>
      <c r="G24" s="18">
        <f>'6'!$D25</f>
        <v/>
      </c>
      <c r="H24" s="18">
        <f>'7'!$D25</f>
        <v/>
      </c>
      <c r="I24" s="18">
        <f>'8'!$D25</f>
        <v/>
      </c>
      <c r="J24" s="18">
        <f>'9'!$D25</f>
        <v/>
      </c>
      <c r="K24" s="18">
        <f>'10'!$D25</f>
        <v/>
      </c>
      <c r="L24" s="18">
        <f>'11'!$D25</f>
        <v/>
      </c>
      <c r="M24" s="18">
        <f>'12'!$D25</f>
        <v/>
      </c>
      <c r="N24" s="18">
        <f>'13'!$D25</f>
        <v/>
      </c>
      <c r="O24" s="18">
        <f>'14'!$D25</f>
        <v/>
      </c>
      <c r="P24" s="18">
        <f>'15'!$D25</f>
        <v/>
      </c>
      <c r="Q24" s="18">
        <f>'16'!$D25</f>
        <v/>
      </c>
      <c r="R24" s="18">
        <f>'17'!$D25</f>
        <v/>
      </c>
      <c r="S24" s="18">
        <f>'18'!$D25</f>
        <v/>
      </c>
      <c r="T24" s="18">
        <f>'19'!$D25</f>
        <v/>
      </c>
      <c r="U24" s="18">
        <f>'20'!$D25</f>
        <v/>
      </c>
      <c r="V24" s="18">
        <f>'21'!$D25</f>
        <v/>
      </c>
      <c r="W24" s="18">
        <f>'22'!$D25</f>
        <v/>
      </c>
      <c r="X24" s="18">
        <f>'23'!$D25</f>
        <v/>
      </c>
      <c r="Y24" s="18">
        <f>'24'!$D25</f>
        <v/>
      </c>
      <c r="Z24" s="18">
        <f>'25'!$D25</f>
        <v/>
      </c>
      <c r="AA24" s="18">
        <f>'26'!$D25</f>
        <v/>
      </c>
      <c r="AB24" s="18">
        <f>'27'!$D25</f>
        <v/>
      </c>
      <c r="AC24" s="18">
        <f>'28'!$D25</f>
        <v/>
      </c>
      <c r="AD24" s="18">
        <f>'29'!$D25</f>
        <v/>
      </c>
      <c r="AE24" s="18" t="n"/>
      <c r="AF24" s="22" t="n"/>
      <c r="AH24" s="13" t="inlineStr">
        <is>
          <t>RJT</t>
        </is>
      </c>
      <c r="AI24" s="18">
        <f>B24</f>
        <v/>
      </c>
      <c r="AJ24" s="18">
        <f>AI24+C24</f>
        <v/>
      </c>
      <c r="AK24" s="18">
        <f>AJ24+D24</f>
        <v/>
      </c>
      <c r="AL24" s="18">
        <f>AK24+E24</f>
        <v/>
      </c>
      <c r="AM24" s="18">
        <f>AL24+F24</f>
        <v/>
      </c>
      <c r="AN24" s="18">
        <f>AM24+G24</f>
        <v/>
      </c>
      <c r="AO24" s="18">
        <f>AN24+H24</f>
        <v/>
      </c>
      <c r="AP24" s="18">
        <f>AO24+I24</f>
        <v/>
      </c>
      <c r="AQ24" s="18">
        <f>AP24+J24</f>
        <v/>
      </c>
      <c r="AR24" s="18">
        <f>AQ24+K24</f>
        <v/>
      </c>
      <c r="AS24" s="18">
        <f>AR24+L24</f>
        <v/>
      </c>
      <c r="AT24" s="18">
        <f>AS24+M24</f>
        <v/>
      </c>
      <c r="AU24" s="18">
        <f>AT24+N24</f>
        <v/>
      </c>
      <c r="AV24" s="18">
        <f>AU24+O24</f>
        <v/>
      </c>
      <c r="AW24" s="18">
        <f>AV24+P24</f>
        <v/>
      </c>
      <c r="AX24" s="18">
        <f>AW24+Q24</f>
        <v/>
      </c>
      <c r="AY24" s="18">
        <f>AX24+R24</f>
        <v/>
      </c>
      <c r="AZ24" s="18">
        <f>AY24+S24</f>
        <v/>
      </c>
      <c r="BA24" s="18">
        <f>AZ24+T24</f>
        <v/>
      </c>
      <c r="BB24" s="18">
        <f>BA24+U24</f>
        <v/>
      </c>
      <c r="BC24" s="18">
        <f>BB24+V24</f>
        <v/>
      </c>
      <c r="BD24" s="18">
        <f>BC24+W24</f>
        <v/>
      </c>
      <c r="BE24" s="18">
        <f>BD24+X24</f>
        <v/>
      </c>
      <c r="BF24" s="18">
        <f>BE24+Y24</f>
        <v/>
      </c>
      <c r="BG24" s="18">
        <f>BF24+Z24</f>
        <v/>
      </c>
      <c r="BH24" s="18">
        <f>BG24+AA24</f>
        <v/>
      </c>
      <c r="BI24" s="18">
        <f>BH24+AB24</f>
        <v/>
      </c>
      <c r="BJ24" s="18">
        <f>BI24+AC24</f>
        <v/>
      </c>
      <c r="BK24" s="18">
        <f>BJ24+AD24</f>
        <v/>
      </c>
      <c r="BL24" s="18" t="n"/>
      <c r="BM24" s="18" t="n"/>
      <c r="BO24" s="13" t="inlineStr">
        <is>
          <t>RJT</t>
        </is>
      </c>
      <c r="BP24" s="51">
        <f>AI24/AI$2</f>
        <v/>
      </c>
      <c r="BQ24" s="51">
        <f>AJ24/AJ$2</f>
        <v/>
      </c>
      <c r="BR24" s="51">
        <f>AK24/AK$2</f>
        <v/>
      </c>
      <c r="BS24" s="51">
        <f>AL24/AL$2</f>
        <v/>
      </c>
      <c r="BT24" s="51">
        <f>AM24/AM$2</f>
        <v/>
      </c>
      <c r="BU24" s="51">
        <f>AN24/AN$2</f>
        <v/>
      </c>
      <c r="BV24" s="51">
        <f>AO24/AO$2</f>
        <v/>
      </c>
      <c r="BW24" s="51">
        <f>AP24/AP$2</f>
        <v/>
      </c>
      <c r="BX24" s="51">
        <f>AQ24/AQ$2</f>
        <v/>
      </c>
      <c r="BY24" s="51">
        <f>AR24/AR$2</f>
        <v/>
      </c>
      <c r="BZ24" s="51">
        <f>AS24/AS$2</f>
        <v/>
      </c>
      <c r="CA24" s="51">
        <f>AT24/AT$2</f>
        <v/>
      </c>
      <c r="CB24" s="51">
        <f>AU24/AU$2</f>
        <v/>
      </c>
      <c r="CC24" s="51">
        <f>AV24/AV$2</f>
        <v/>
      </c>
      <c r="CD24" s="51">
        <f>AW24/AW$2</f>
        <v/>
      </c>
      <c r="CE24" s="51">
        <f>AX24/AX$2</f>
        <v/>
      </c>
      <c r="CF24" s="51">
        <f>AY24/AY$2</f>
        <v/>
      </c>
      <c r="CG24" s="51">
        <f>AZ24/AZ$2</f>
        <v/>
      </c>
      <c r="CH24" s="51">
        <f>BA24/BA$2</f>
        <v/>
      </c>
      <c r="CI24" s="51">
        <f>BB24/BB$2</f>
        <v/>
      </c>
      <c r="CJ24" s="51">
        <f>BC24/BC$2</f>
        <v/>
      </c>
      <c r="CK24" s="51">
        <f>BD24/BD$2</f>
        <v/>
      </c>
      <c r="CL24" s="51">
        <f>BE24/BE$2</f>
        <v/>
      </c>
      <c r="CM24" s="51">
        <f>BF24/BF$2</f>
        <v/>
      </c>
      <c r="CN24" s="51">
        <f>BG24/BG$2</f>
        <v/>
      </c>
      <c r="CO24" s="51">
        <f>BH24/BH$2</f>
        <v/>
      </c>
      <c r="CP24" s="51">
        <f>BI24/BI$2</f>
        <v/>
      </c>
      <c r="CQ24" s="51">
        <f>BJ24/BJ$2</f>
        <v/>
      </c>
      <c r="CR24" s="51">
        <f>BK24/BK$2</f>
        <v/>
      </c>
      <c r="CS24" s="51" t="n"/>
      <c r="CT24" s="51" t="n"/>
      <c r="CU24" s="23" t="n"/>
      <c r="CV24" s="13" t="inlineStr">
        <is>
          <t>RJT</t>
        </is>
      </c>
      <c r="CW24" s="23" t="n">
        <v>0</v>
      </c>
      <c r="CY24" s="13" t="inlineStr">
        <is>
          <t>RJT</t>
        </is>
      </c>
      <c r="CZ24" s="18">
        <f>CW24+B24</f>
        <v/>
      </c>
      <c r="DA24" s="18">
        <f>CZ24+C24</f>
        <v/>
      </c>
      <c r="DB24" s="18">
        <f>DA24+D24</f>
        <v/>
      </c>
      <c r="DC24" s="18">
        <f>DB24+E24</f>
        <v/>
      </c>
      <c r="DD24" s="18">
        <f>DC24+F24</f>
        <v/>
      </c>
      <c r="DE24" s="18">
        <f>DD24+G24</f>
        <v/>
      </c>
      <c r="DF24" s="18">
        <f>DE24+H24</f>
        <v/>
      </c>
      <c r="DG24" s="18">
        <f>DF24+I24</f>
        <v/>
      </c>
      <c r="DH24" s="18">
        <f>DG24+J24</f>
        <v/>
      </c>
      <c r="DI24" s="18">
        <f>DH24+K24</f>
        <v/>
      </c>
      <c r="DJ24" s="18">
        <f>DI24+L24</f>
        <v/>
      </c>
      <c r="DK24" s="18">
        <f>DJ24+M24</f>
        <v/>
      </c>
      <c r="DL24" s="18">
        <f>DK24+N24</f>
        <v/>
      </c>
      <c r="DM24" s="18">
        <f>DL24+O24</f>
        <v/>
      </c>
      <c r="DN24" s="18">
        <f>DM24+P24</f>
        <v/>
      </c>
      <c r="DO24" s="18">
        <f>DN24+Q24</f>
        <v/>
      </c>
      <c r="DP24" s="18">
        <f>DO24+R24</f>
        <v/>
      </c>
      <c r="DQ24" s="18">
        <f>DP24+S24</f>
        <v/>
      </c>
      <c r="DR24" s="18">
        <f>DQ24+T24</f>
        <v/>
      </c>
      <c r="DS24" s="18">
        <f>DR24+U24</f>
        <v/>
      </c>
      <c r="DT24" s="18">
        <f>DS24+V24</f>
        <v/>
      </c>
      <c r="DU24" s="18">
        <f>DT24+W24</f>
        <v/>
      </c>
      <c r="DV24" s="18">
        <f>DU24+X24</f>
        <v/>
      </c>
      <c r="DW24" s="18">
        <f>DV24+Y24</f>
        <v/>
      </c>
      <c r="DX24" s="18">
        <f>DW24+Z24</f>
        <v/>
      </c>
      <c r="DY24" s="18">
        <f>DX24+AA24</f>
        <v/>
      </c>
      <c r="DZ24" s="18">
        <f>DY24+AB24</f>
        <v/>
      </c>
      <c r="EA24" s="18">
        <f>DZ24+AC24</f>
        <v/>
      </c>
      <c r="EB24" s="18">
        <f>EA24+AD24</f>
        <v/>
      </c>
      <c r="EC24" s="18" t="n"/>
      <c r="ED24" s="18" t="n"/>
      <c r="EF24" s="13" t="inlineStr">
        <is>
          <t>RJT</t>
        </is>
      </c>
      <c r="EG24" s="51">
        <f>CZ24/EG$2</f>
        <v/>
      </c>
      <c r="EH24" s="51">
        <f>DA24/EH$2</f>
        <v/>
      </c>
      <c r="EI24" s="51">
        <f>DB24/EI$2</f>
        <v/>
      </c>
      <c r="EJ24" s="51">
        <f>DC24/EJ$2</f>
        <v/>
      </c>
      <c r="EK24" s="51">
        <f>DD24/EK$2</f>
        <v/>
      </c>
      <c r="EL24" s="51">
        <f>DE24/EL$2</f>
        <v/>
      </c>
      <c r="EM24" s="51">
        <f>DF24/EM$2</f>
        <v/>
      </c>
      <c r="EN24" s="51">
        <f>DG24/EN$2</f>
        <v/>
      </c>
      <c r="EO24" s="51">
        <f>DH24/EO$2</f>
        <v/>
      </c>
      <c r="EP24" s="51">
        <f>DI24/EP$2</f>
        <v/>
      </c>
      <c r="EQ24" s="51">
        <f>DJ24/EQ$2</f>
        <v/>
      </c>
      <c r="ER24" s="51">
        <f>DK24/ER$2</f>
        <v/>
      </c>
      <c r="ES24" s="51">
        <f>DL24/ES$2</f>
        <v/>
      </c>
      <c r="ET24" s="51">
        <f>DM24/ET$2</f>
        <v/>
      </c>
      <c r="EU24" s="51">
        <f>DN24/EU$2</f>
        <v/>
      </c>
      <c r="EV24" s="51">
        <f>DO24/EV$2</f>
        <v/>
      </c>
      <c r="EW24" s="51">
        <f>DP24/EW$2</f>
        <v/>
      </c>
      <c r="EX24" s="51">
        <f>DQ24/EX$2</f>
        <v/>
      </c>
      <c r="EY24" s="51">
        <f>DR24/EY$2</f>
        <v/>
      </c>
      <c r="EZ24" s="51">
        <f>DS24/EZ$2</f>
        <v/>
      </c>
      <c r="FA24" s="51">
        <f>DT24/FA$2</f>
        <v/>
      </c>
      <c r="FB24" s="51">
        <f>DU24/FB$2</f>
        <v/>
      </c>
      <c r="FC24" s="51">
        <f>DV24/FC$2</f>
        <v/>
      </c>
      <c r="FD24" s="51">
        <f>DW24/FD$2</f>
        <v/>
      </c>
      <c r="FE24" s="51">
        <f>DX24/FE$2</f>
        <v/>
      </c>
      <c r="FF24" s="51">
        <f>DY24/FF$2</f>
        <v/>
      </c>
      <c r="FG24" s="51">
        <f>DZ24/FG$2</f>
        <v/>
      </c>
      <c r="FH24" s="51">
        <f>EA24/FH$2</f>
        <v/>
      </c>
      <c r="FI24" s="51">
        <f>EB24/FI$2</f>
        <v/>
      </c>
      <c r="FJ24" s="51" t="n"/>
      <c r="FK24" s="51" t="n"/>
    </row>
    <row r="25" ht="15.75" customHeight="1">
      <c r="A25" s="13" t="inlineStr">
        <is>
          <t>BVP</t>
        </is>
      </c>
      <c r="B25" s="18">
        <f>'1'!$D26</f>
        <v/>
      </c>
      <c r="C25" s="18">
        <f>'2'!$D26</f>
        <v/>
      </c>
      <c r="D25" s="18">
        <f>'3'!$D26</f>
        <v/>
      </c>
      <c r="E25" s="18">
        <f>'4'!$D26</f>
        <v/>
      </c>
      <c r="F25" s="18">
        <f>'5'!$D26</f>
        <v/>
      </c>
      <c r="G25" s="18">
        <f>'6'!$D26</f>
        <v/>
      </c>
      <c r="H25" s="18">
        <f>'7'!$D26</f>
        <v/>
      </c>
      <c r="I25" s="18">
        <f>'8'!$D26</f>
        <v/>
      </c>
      <c r="J25" s="18">
        <f>'9'!$D26</f>
        <v/>
      </c>
      <c r="K25" s="18">
        <f>'10'!$D26</f>
        <v/>
      </c>
      <c r="L25" s="18">
        <f>'11'!$D26</f>
        <v/>
      </c>
      <c r="M25" s="18">
        <f>'12'!$D26</f>
        <v/>
      </c>
      <c r="N25" s="18">
        <f>'13'!$D26</f>
        <v/>
      </c>
      <c r="O25" s="18">
        <f>'14'!$D26</f>
        <v/>
      </c>
      <c r="P25" s="18">
        <f>'15'!$D26</f>
        <v/>
      </c>
      <c r="Q25" s="18">
        <f>'16'!$D26</f>
        <v/>
      </c>
      <c r="R25" s="18">
        <f>'17'!$D26</f>
        <v/>
      </c>
      <c r="S25" s="18">
        <f>'18'!$D26</f>
        <v/>
      </c>
      <c r="T25" s="18">
        <f>'19'!$D26</f>
        <v/>
      </c>
      <c r="U25" s="18">
        <f>'20'!$D26</f>
        <v/>
      </c>
      <c r="V25" s="18">
        <f>'21'!$D26</f>
        <v/>
      </c>
      <c r="W25" s="18">
        <f>'22'!$D26</f>
        <v/>
      </c>
      <c r="X25" s="18">
        <f>'23'!$D26</f>
        <v/>
      </c>
      <c r="Y25" s="18">
        <f>'24'!$D26</f>
        <v/>
      </c>
      <c r="Z25" s="18">
        <f>'25'!$D26</f>
        <v/>
      </c>
      <c r="AA25" s="18">
        <f>'26'!$D26</f>
        <v/>
      </c>
      <c r="AB25" s="18">
        <f>'27'!$D26</f>
        <v/>
      </c>
      <c r="AC25" s="18">
        <f>'28'!$D26</f>
        <v/>
      </c>
      <c r="AD25" s="18">
        <f>'29'!$D26</f>
        <v/>
      </c>
      <c r="AE25" s="18" t="n"/>
      <c r="AF25" s="22" t="n"/>
      <c r="AH25" s="13" t="inlineStr">
        <is>
          <t>BVP</t>
        </is>
      </c>
      <c r="AI25" s="18">
        <f>B25</f>
        <v/>
      </c>
      <c r="AJ25" s="18">
        <f>AI25+C25</f>
        <v/>
      </c>
      <c r="AK25" s="18">
        <f>AJ25+D25</f>
        <v/>
      </c>
      <c r="AL25" s="18">
        <f>AK25+E25</f>
        <v/>
      </c>
      <c r="AM25" s="18">
        <f>AL25+F25</f>
        <v/>
      </c>
      <c r="AN25" s="18">
        <f>AM25+G25</f>
        <v/>
      </c>
      <c r="AO25" s="18">
        <f>AN25+H25</f>
        <v/>
      </c>
      <c r="AP25" s="18">
        <f>AO25+I25</f>
        <v/>
      </c>
      <c r="AQ25" s="18">
        <f>AP25+J25</f>
        <v/>
      </c>
      <c r="AR25" s="18">
        <f>AQ25+K25</f>
        <v/>
      </c>
      <c r="AS25" s="18">
        <f>AR25+L25</f>
        <v/>
      </c>
      <c r="AT25" s="18">
        <f>AS25+M25</f>
        <v/>
      </c>
      <c r="AU25" s="18">
        <f>AT25+N25</f>
        <v/>
      </c>
      <c r="AV25" s="18">
        <f>AU25+O25</f>
        <v/>
      </c>
      <c r="AW25" s="18">
        <f>AV25+P25</f>
        <v/>
      </c>
      <c r="AX25" s="18">
        <f>AW25+Q25</f>
        <v/>
      </c>
      <c r="AY25" s="18">
        <f>AX25+R25</f>
        <v/>
      </c>
      <c r="AZ25" s="18">
        <f>AY25+S25</f>
        <v/>
      </c>
      <c r="BA25" s="18">
        <f>AZ25+T25</f>
        <v/>
      </c>
      <c r="BB25" s="18">
        <f>BA25+U25</f>
        <v/>
      </c>
      <c r="BC25" s="18">
        <f>BB25+V25</f>
        <v/>
      </c>
      <c r="BD25" s="18">
        <f>BC25+W25</f>
        <v/>
      </c>
      <c r="BE25" s="18">
        <f>BD25+X25</f>
        <v/>
      </c>
      <c r="BF25" s="18">
        <f>BE25+Y25</f>
        <v/>
      </c>
      <c r="BG25" s="18">
        <f>BF25+Z25</f>
        <v/>
      </c>
      <c r="BH25" s="18">
        <f>BG25+AA25</f>
        <v/>
      </c>
      <c r="BI25" s="18">
        <f>BH25+AB25</f>
        <v/>
      </c>
      <c r="BJ25" s="18">
        <f>BI25+AC25</f>
        <v/>
      </c>
      <c r="BK25" s="18">
        <f>BJ25+AD25</f>
        <v/>
      </c>
      <c r="BL25" s="18" t="n"/>
      <c r="BM25" s="18" t="n"/>
      <c r="BO25" s="13" t="inlineStr">
        <is>
          <t>BVP</t>
        </is>
      </c>
      <c r="BP25" s="51">
        <f>AI25/AI$2</f>
        <v/>
      </c>
      <c r="BQ25" s="51">
        <f>AJ25/AJ$2</f>
        <v/>
      </c>
      <c r="BR25" s="51">
        <f>AK25/AK$2</f>
        <v/>
      </c>
      <c r="BS25" s="51">
        <f>AL25/AL$2</f>
        <v/>
      </c>
      <c r="BT25" s="51">
        <f>AM25/AM$2</f>
        <v/>
      </c>
      <c r="BU25" s="51">
        <f>AN25/AN$2</f>
        <v/>
      </c>
      <c r="BV25" s="51">
        <f>AO25/AO$2</f>
        <v/>
      </c>
      <c r="BW25" s="51">
        <f>AP25/AP$2</f>
        <v/>
      </c>
      <c r="BX25" s="51">
        <f>AQ25/AQ$2</f>
        <v/>
      </c>
      <c r="BY25" s="51">
        <f>AR25/AR$2</f>
        <v/>
      </c>
      <c r="BZ25" s="51">
        <f>AS25/AS$2</f>
        <v/>
      </c>
      <c r="CA25" s="51">
        <f>AT25/AT$2</f>
        <v/>
      </c>
      <c r="CB25" s="51">
        <f>AU25/AU$2</f>
        <v/>
      </c>
      <c r="CC25" s="51">
        <f>AV25/AV$2</f>
        <v/>
      </c>
      <c r="CD25" s="51">
        <f>AW25/AW$2</f>
        <v/>
      </c>
      <c r="CE25" s="51">
        <f>AX25/AX$2</f>
        <v/>
      </c>
      <c r="CF25" s="51">
        <f>AY25/AY$2</f>
        <v/>
      </c>
      <c r="CG25" s="51">
        <f>AZ25/AZ$2</f>
        <v/>
      </c>
      <c r="CH25" s="51">
        <f>BA25/BA$2</f>
        <v/>
      </c>
      <c r="CI25" s="51">
        <f>BB25/BB$2</f>
        <v/>
      </c>
      <c r="CJ25" s="51">
        <f>BC25/BC$2</f>
        <v/>
      </c>
      <c r="CK25" s="51">
        <f>BD25/BD$2</f>
        <v/>
      </c>
      <c r="CL25" s="51">
        <f>BE25/BE$2</f>
        <v/>
      </c>
      <c r="CM25" s="51">
        <f>BF25/BF$2</f>
        <v/>
      </c>
      <c r="CN25" s="51">
        <f>BG25/BG$2</f>
        <v/>
      </c>
      <c r="CO25" s="51">
        <f>BH25/BH$2</f>
        <v/>
      </c>
      <c r="CP25" s="51">
        <f>BI25/BI$2</f>
        <v/>
      </c>
      <c r="CQ25" s="51">
        <f>BJ25/BJ$2</f>
        <v/>
      </c>
      <c r="CR25" s="51">
        <f>BK25/BK$2</f>
        <v/>
      </c>
      <c r="CS25" s="51" t="n"/>
      <c r="CT25" s="51" t="n"/>
      <c r="CU25" s="23" t="n"/>
      <c r="CV25" s="13" t="inlineStr">
        <is>
          <t>BVP</t>
        </is>
      </c>
      <c r="CW25" s="23" t="n">
        <v>0</v>
      </c>
      <c r="CY25" s="13" t="inlineStr">
        <is>
          <t>BVP</t>
        </is>
      </c>
      <c r="CZ25" s="18">
        <f>CW25+B25</f>
        <v/>
      </c>
      <c r="DA25" s="18">
        <f>CZ25+C25</f>
        <v/>
      </c>
      <c r="DB25" s="18">
        <f>DA25+D25</f>
        <v/>
      </c>
      <c r="DC25" s="18">
        <f>DB25+E25</f>
        <v/>
      </c>
      <c r="DD25" s="18">
        <f>DC25+F25</f>
        <v/>
      </c>
      <c r="DE25" s="18">
        <f>DD25+G25</f>
        <v/>
      </c>
      <c r="DF25" s="18">
        <f>DE25+H25</f>
        <v/>
      </c>
      <c r="DG25" s="18">
        <f>DF25+I25</f>
        <v/>
      </c>
      <c r="DH25" s="18">
        <f>DG25+J25</f>
        <v/>
      </c>
      <c r="DI25" s="18">
        <f>DH25+K25</f>
        <v/>
      </c>
      <c r="DJ25" s="18">
        <f>DI25+L25</f>
        <v/>
      </c>
      <c r="DK25" s="18">
        <f>DJ25+M25</f>
        <v/>
      </c>
      <c r="DL25" s="18">
        <f>DK25+N25</f>
        <v/>
      </c>
      <c r="DM25" s="18">
        <f>DL25+O25</f>
        <v/>
      </c>
      <c r="DN25" s="18">
        <f>DM25+P25</f>
        <v/>
      </c>
      <c r="DO25" s="18">
        <f>DN25+Q25</f>
        <v/>
      </c>
      <c r="DP25" s="18">
        <f>DO25+R25</f>
        <v/>
      </c>
      <c r="DQ25" s="18">
        <f>DP25+S25</f>
        <v/>
      </c>
      <c r="DR25" s="18">
        <f>DQ25+T25</f>
        <v/>
      </c>
      <c r="DS25" s="18">
        <f>DR25+U25</f>
        <v/>
      </c>
      <c r="DT25" s="18">
        <f>DS25+V25</f>
        <v/>
      </c>
      <c r="DU25" s="18">
        <f>DT25+W25</f>
        <v/>
      </c>
      <c r="DV25" s="18">
        <f>DU25+X25</f>
        <v/>
      </c>
      <c r="DW25" s="18">
        <f>DV25+Y25</f>
        <v/>
      </c>
      <c r="DX25" s="18">
        <f>DW25+Z25</f>
        <v/>
      </c>
      <c r="DY25" s="18">
        <f>DX25+AA25</f>
        <v/>
      </c>
      <c r="DZ25" s="18">
        <f>DY25+AB25</f>
        <v/>
      </c>
      <c r="EA25" s="18">
        <f>DZ25+AC25</f>
        <v/>
      </c>
      <c r="EB25" s="18">
        <f>EA25+AD25</f>
        <v/>
      </c>
      <c r="EC25" s="18" t="n"/>
      <c r="ED25" s="18" t="n"/>
      <c r="EF25" s="13" t="inlineStr">
        <is>
          <t>BVP</t>
        </is>
      </c>
      <c r="EG25" s="51">
        <f>CZ25/EG$2</f>
        <v/>
      </c>
      <c r="EH25" s="51">
        <f>DA25/EH$2</f>
        <v/>
      </c>
      <c r="EI25" s="51">
        <f>DB25/EI$2</f>
        <v/>
      </c>
      <c r="EJ25" s="51">
        <f>DC25/EJ$2</f>
        <v/>
      </c>
      <c r="EK25" s="51">
        <f>DD25/EK$2</f>
        <v/>
      </c>
      <c r="EL25" s="51">
        <f>DE25/EL$2</f>
        <v/>
      </c>
      <c r="EM25" s="51">
        <f>DF25/EM$2</f>
        <v/>
      </c>
      <c r="EN25" s="51">
        <f>DG25/EN$2</f>
        <v/>
      </c>
      <c r="EO25" s="51">
        <f>DH25/EO$2</f>
        <v/>
      </c>
      <c r="EP25" s="51">
        <f>DI25/EP$2</f>
        <v/>
      </c>
      <c r="EQ25" s="51">
        <f>DJ25/EQ$2</f>
        <v/>
      </c>
      <c r="ER25" s="51">
        <f>DK25/ER$2</f>
        <v/>
      </c>
      <c r="ES25" s="51">
        <f>DL25/ES$2</f>
        <v/>
      </c>
      <c r="ET25" s="51">
        <f>DM25/ET$2</f>
        <v/>
      </c>
      <c r="EU25" s="51">
        <f>DN25/EU$2</f>
        <v/>
      </c>
      <c r="EV25" s="51">
        <f>DO25/EV$2</f>
        <v/>
      </c>
      <c r="EW25" s="51">
        <f>DP25/EW$2</f>
        <v/>
      </c>
      <c r="EX25" s="51">
        <f>DQ25/EX$2</f>
        <v/>
      </c>
      <c r="EY25" s="51">
        <f>DR25/EY$2</f>
        <v/>
      </c>
      <c r="EZ25" s="51">
        <f>DS25/EZ$2</f>
        <v/>
      </c>
      <c r="FA25" s="51">
        <f>DT25/FA$2</f>
        <v/>
      </c>
      <c r="FB25" s="51">
        <f>DU25/FB$2</f>
        <v/>
      </c>
      <c r="FC25" s="51">
        <f>DV25/FC$2</f>
        <v/>
      </c>
      <c r="FD25" s="51">
        <f>DW25/FD$2</f>
        <v/>
      </c>
      <c r="FE25" s="51">
        <f>DX25/FE$2</f>
        <v/>
      </c>
      <c r="FF25" s="51">
        <f>DY25/FF$2</f>
        <v/>
      </c>
      <c r="FG25" s="51">
        <f>DZ25/FG$2</f>
        <v/>
      </c>
      <c r="FH25" s="51">
        <f>EA25/FH$2</f>
        <v/>
      </c>
      <c r="FI25" s="51">
        <f>EB25/FI$2</f>
        <v/>
      </c>
      <c r="FJ25" s="51" t="n"/>
      <c r="FK25" s="51" t="n"/>
    </row>
    <row r="26" ht="16.5" customHeight="1" thickBot="1">
      <c r="A26" s="19" t="inlineStr">
        <is>
          <t>RTM</t>
        </is>
      </c>
      <c r="B26" s="18">
        <f>'1'!$D27</f>
        <v/>
      </c>
      <c r="C26" s="18">
        <f>'2'!$D27</f>
        <v/>
      </c>
      <c r="D26" s="18">
        <f>'3'!$D27</f>
        <v/>
      </c>
      <c r="E26" s="18">
        <f>'4'!$D27</f>
        <v/>
      </c>
      <c r="F26" s="18">
        <f>'5'!$D27</f>
        <v/>
      </c>
      <c r="G26" s="18">
        <f>'6'!$D27</f>
        <v/>
      </c>
      <c r="H26" s="18">
        <f>'7'!$D27</f>
        <v/>
      </c>
      <c r="I26" s="18">
        <f>'8'!$D27</f>
        <v/>
      </c>
      <c r="J26" s="18">
        <f>'9'!$D27</f>
        <v/>
      </c>
      <c r="K26" s="18">
        <f>'10'!$D27</f>
        <v/>
      </c>
      <c r="L26" s="18">
        <f>'11'!$D27</f>
        <v/>
      </c>
      <c r="M26" s="18">
        <f>'12'!$D27</f>
        <v/>
      </c>
      <c r="N26" s="18">
        <f>'13'!$D27</f>
        <v/>
      </c>
      <c r="O26" s="18">
        <f>'14'!$D27</f>
        <v/>
      </c>
      <c r="P26" s="18">
        <f>'15'!$D27</f>
        <v/>
      </c>
      <c r="Q26" s="18">
        <f>'16'!$D27</f>
        <v/>
      </c>
      <c r="R26" s="18">
        <f>'17'!$D27</f>
        <v/>
      </c>
      <c r="S26" s="18">
        <f>'18'!$D27</f>
        <v/>
      </c>
      <c r="T26" s="18">
        <f>'19'!$D27</f>
        <v/>
      </c>
      <c r="U26" s="18">
        <f>'20'!$D27</f>
        <v/>
      </c>
      <c r="V26" s="18">
        <f>'21'!$D27</f>
        <v/>
      </c>
      <c r="W26" s="18">
        <f>'22'!$D27</f>
        <v/>
      </c>
      <c r="X26" s="18">
        <f>'23'!$D27</f>
        <v/>
      </c>
      <c r="Y26" s="18">
        <f>'24'!$D27</f>
        <v/>
      </c>
      <c r="Z26" s="18">
        <f>'25'!$D27</f>
        <v/>
      </c>
      <c r="AA26" s="18">
        <f>'26'!$D27</f>
        <v/>
      </c>
      <c r="AB26" s="18">
        <f>'27'!$D27</f>
        <v/>
      </c>
      <c r="AC26" s="18">
        <f>'28'!$D27</f>
        <v/>
      </c>
      <c r="AD26" s="18">
        <f>'29'!$D27</f>
        <v/>
      </c>
      <c r="AE26" s="18" t="n"/>
      <c r="AF26" s="22" t="n"/>
      <c r="AH26" s="19" t="inlineStr">
        <is>
          <t>RTM</t>
        </is>
      </c>
      <c r="AI26" s="18">
        <f>B26</f>
        <v/>
      </c>
      <c r="AJ26" s="18">
        <f>AI26+C26</f>
        <v/>
      </c>
      <c r="AK26" s="18">
        <f>AJ26+D26</f>
        <v/>
      </c>
      <c r="AL26" s="18">
        <f>AK26+E26</f>
        <v/>
      </c>
      <c r="AM26" s="18">
        <f>AL26+F26</f>
        <v/>
      </c>
      <c r="AN26" s="18">
        <f>AM26+G26</f>
        <v/>
      </c>
      <c r="AO26" s="18">
        <f>AN26+H26</f>
        <v/>
      </c>
      <c r="AP26" s="18">
        <f>AO26+I26</f>
        <v/>
      </c>
      <c r="AQ26" s="18">
        <f>AP26+J26</f>
        <v/>
      </c>
      <c r="AR26" s="18">
        <f>AQ26+K26</f>
        <v/>
      </c>
      <c r="AS26" s="18">
        <f>AR26+L26</f>
        <v/>
      </c>
      <c r="AT26" s="18">
        <f>AS26+M26</f>
        <v/>
      </c>
      <c r="AU26" s="18">
        <f>AT26+N26</f>
        <v/>
      </c>
      <c r="AV26" s="18">
        <f>AU26+O26</f>
        <v/>
      </c>
      <c r="AW26" s="18">
        <f>AV26+P26</f>
        <v/>
      </c>
      <c r="AX26" s="18">
        <f>AW26+Q26</f>
        <v/>
      </c>
      <c r="AY26" s="18">
        <f>AX26+R26</f>
        <v/>
      </c>
      <c r="AZ26" s="18">
        <f>AY26+S26</f>
        <v/>
      </c>
      <c r="BA26" s="18">
        <f>AZ26+T26</f>
        <v/>
      </c>
      <c r="BB26" s="18">
        <f>BA26+U26</f>
        <v/>
      </c>
      <c r="BC26" s="18">
        <f>BB26+V26</f>
        <v/>
      </c>
      <c r="BD26" s="18">
        <f>BC26+W26</f>
        <v/>
      </c>
      <c r="BE26" s="18">
        <f>BD26+X26</f>
        <v/>
      </c>
      <c r="BF26" s="18">
        <f>BE26+Y26</f>
        <v/>
      </c>
      <c r="BG26" s="18">
        <f>BF26+Z26</f>
        <v/>
      </c>
      <c r="BH26" s="18">
        <f>BG26+AA26</f>
        <v/>
      </c>
      <c r="BI26" s="18">
        <f>BH26+AB26</f>
        <v/>
      </c>
      <c r="BJ26" s="18">
        <f>BI26+AC26</f>
        <v/>
      </c>
      <c r="BK26" s="18">
        <f>BJ26+AD26</f>
        <v/>
      </c>
      <c r="BL26" s="18" t="n"/>
      <c r="BM26" s="18" t="n"/>
      <c r="BO26" s="19" t="inlineStr">
        <is>
          <t>RTM</t>
        </is>
      </c>
      <c r="BP26" s="51">
        <f>AI26/AI$2</f>
        <v/>
      </c>
      <c r="BQ26" s="51">
        <f>AJ26/AJ$2</f>
        <v/>
      </c>
      <c r="BR26" s="51">
        <f>AK26/AK$2</f>
        <v/>
      </c>
      <c r="BS26" s="51">
        <f>AL26/AL$2</f>
        <v/>
      </c>
      <c r="BT26" s="51">
        <f>AM26/AM$2</f>
        <v/>
      </c>
      <c r="BU26" s="51">
        <f>AN26/AN$2</f>
        <v/>
      </c>
      <c r="BV26" s="51">
        <f>AO26/AO$2</f>
        <v/>
      </c>
      <c r="BW26" s="51">
        <f>AP26/AP$2</f>
        <v/>
      </c>
      <c r="BX26" s="51">
        <f>AQ26/AQ$2</f>
        <v/>
      </c>
      <c r="BY26" s="51">
        <f>AR26/AR$2</f>
        <v/>
      </c>
      <c r="BZ26" s="51">
        <f>AS26/AS$2</f>
        <v/>
      </c>
      <c r="CA26" s="51">
        <f>AT26/AT$2</f>
        <v/>
      </c>
      <c r="CB26" s="51">
        <f>AU26/AU$2</f>
        <v/>
      </c>
      <c r="CC26" s="51">
        <f>AV26/AV$2</f>
        <v/>
      </c>
      <c r="CD26" s="51">
        <f>AW26/AW$2</f>
        <v/>
      </c>
      <c r="CE26" s="51">
        <f>AX26/AX$2</f>
        <v/>
      </c>
      <c r="CF26" s="51">
        <f>AY26/AY$2</f>
        <v/>
      </c>
      <c r="CG26" s="51">
        <f>AZ26/AZ$2</f>
        <v/>
      </c>
      <c r="CH26" s="51">
        <f>BA26/BA$2</f>
        <v/>
      </c>
      <c r="CI26" s="51">
        <f>BB26/BB$2</f>
        <v/>
      </c>
      <c r="CJ26" s="51">
        <f>BC26/BC$2</f>
        <v/>
      </c>
      <c r="CK26" s="51">
        <f>BD26/BD$2</f>
        <v/>
      </c>
      <c r="CL26" s="51">
        <f>BE26/BE$2</f>
        <v/>
      </c>
      <c r="CM26" s="51">
        <f>BF26/BF$2</f>
        <v/>
      </c>
      <c r="CN26" s="51">
        <f>BG26/BG$2</f>
        <v/>
      </c>
      <c r="CO26" s="51">
        <f>BH26/BH$2</f>
        <v/>
      </c>
      <c r="CP26" s="51">
        <f>BI26/BI$2</f>
        <v/>
      </c>
      <c r="CQ26" s="51">
        <f>BJ26/BJ$2</f>
        <v/>
      </c>
      <c r="CR26" s="51">
        <f>BK26/BK$2</f>
        <v/>
      </c>
      <c r="CS26" s="51" t="n"/>
      <c r="CT26" s="51" t="n"/>
      <c r="CU26" s="23" t="n"/>
      <c r="CV26" s="19" t="inlineStr">
        <is>
          <t>RTM</t>
        </is>
      </c>
      <c r="CW26" s="23" t="n">
        <v>0</v>
      </c>
      <c r="CY26" s="19" t="inlineStr">
        <is>
          <t>RTM</t>
        </is>
      </c>
      <c r="CZ26" s="18">
        <f>CW26+B26</f>
        <v/>
      </c>
      <c r="DA26" s="18">
        <f>CZ26+C26</f>
        <v/>
      </c>
      <c r="DB26" s="18">
        <f>DA26+D26</f>
        <v/>
      </c>
      <c r="DC26" s="18">
        <f>DB26+E26</f>
        <v/>
      </c>
      <c r="DD26" s="18">
        <f>DC26+F26</f>
        <v/>
      </c>
      <c r="DE26" s="18">
        <f>DD26+G26</f>
        <v/>
      </c>
      <c r="DF26" s="18">
        <f>DE26+H26</f>
        <v/>
      </c>
      <c r="DG26" s="18">
        <f>DF26+I26</f>
        <v/>
      </c>
      <c r="DH26" s="18">
        <f>DG26+J26</f>
        <v/>
      </c>
      <c r="DI26" s="18">
        <f>DH26+K26</f>
        <v/>
      </c>
      <c r="DJ26" s="18">
        <f>DI26+L26</f>
        <v/>
      </c>
      <c r="DK26" s="18">
        <f>DJ26+M26</f>
        <v/>
      </c>
      <c r="DL26" s="18">
        <f>DK26+N26</f>
        <v/>
      </c>
      <c r="DM26" s="18">
        <f>DL26+O26</f>
        <v/>
      </c>
      <c r="DN26" s="18">
        <f>DM26+P26</f>
        <v/>
      </c>
      <c r="DO26" s="18">
        <f>DN26+Q26</f>
        <v/>
      </c>
      <c r="DP26" s="18">
        <f>DO26+R26</f>
        <v/>
      </c>
      <c r="DQ26" s="18">
        <f>DP26+S26</f>
        <v/>
      </c>
      <c r="DR26" s="18">
        <f>DQ26+T26</f>
        <v/>
      </c>
      <c r="DS26" s="18">
        <f>DR26+U26</f>
        <v/>
      </c>
      <c r="DT26" s="18">
        <f>DS26+V26</f>
        <v/>
      </c>
      <c r="DU26" s="18">
        <f>DT26+W26</f>
        <v/>
      </c>
      <c r="DV26" s="18">
        <f>DU26+X26</f>
        <v/>
      </c>
      <c r="DW26" s="18">
        <f>DV26+Y26</f>
        <v/>
      </c>
      <c r="DX26" s="18">
        <f>DW26+Z26</f>
        <v/>
      </c>
      <c r="DY26" s="18">
        <f>DX26+AA26</f>
        <v/>
      </c>
      <c r="DZ26" s="18">
        <f>DY26+AB26</f>
        <v/>
      </c>
      <c r="EA26" s="18">
        <f>DZ26+AC26</f>
        <v/>
      </c>
      <c r="EB26" s="18">
        <f>EA26+AD26</f>
        <v/>
      </c>
      <c r="EC26" s="18" t="n"/>
      <c r="ED26" s="18" t="n"/>
      <c r="EF26" s="19" t="inlineStr">
        <is>
          <t>RTM</t>
        </is>
      </c>
      <c r="EG26" s="51">
        <f>CZ26/EG$2</f>
        <v/>
      </c>
      <c r="EH26" s="51">
        <f>DA26/EH$2</f>
        <v/>
      </c>
      <c r="EI26" s="51">
        <f>DB26/EI$2</f>
        <v/>
      </c>
      <c r="EJ26" s="51">
        <f>DC26/EJ$2</f>
        <v/>
      </c>
      <c r="EK26" s="51">
        <f>DD26/EK$2</f>
        <v/>
      </c>
      <c r="EL26" s="51">
        <f>DE26/EL$2</f>
        <v/>
      </c>
      <c r="EM26" s="51">
        <f>DF26/EM$2</f>
        <v/>
      </c>
      <c r="EN26" s="51">
        <f>DG26/EN$2</f>
        <v/>
      </c>
      <c r="EO26" s="51">
        <f>DH26/EO$2</f>
        <v/>
      </c>
      <c r="EP26" s="51">
        <f>DI26/EP$2</f>
        <v/>
      </c>
      <c r="EQ26" s="51">
        <f>DJ26/EQ$2</f>
        <v/>
      </c>
      <c r="ER26" s="51">
        <f>DK26/ER$2</f>
        <v/>
      </c>
      <c r="ES26" s="51">
        <f>DL26/ES$2</f>
        <v/>
      </c>
      <c r="ET26" s="51">
        <f>DM26/ET$2</f>
        <v/>
      </c>
      <c r="EU26" s="51">
        <f>DN26/EU$2</f>
        <v/>
      </c>
      <c r="EV26" s="51">
        <f>DO26/EV$2</f>
        <v/>
      </c>
      <c r="EW26" s="51">
        <f>DP26/EW$2</f>
        <v/>
      </c>
      <c r="EX26" s="51">
        <f>DQ26/EX$2</f>
        <v/>
      </c>
      <c r="EY26" s="51">
        <f>DR26/EY$2</f>
        <v/>
      </c>
      <c r="EZ26" s="51">
        <f>DS26/EZ$2</f>
        <v/>
      </c>
      <c r="FA26" s="51">
        <f>DT26/FA$2</f>
        <v/>
      </c>
      <c r="FB26" s="51">
        <f>DU26/FB$2</f>
        <v/>
      </c>
      <c r="FC26" s="51">
        <f>DV26/FC$2</f>
        <v/>
      </c>
      <c r="FD26" s="51">
        <f>DW26/FD$2</f>
        <v/>
      </c>
      <c r="FE26" s="51">
        <f>DX26/FE$2</f>
        <v/>
      </c>
      <c r="FF26" s="51">
        <f>DY26/FF$2</f>
        <v/>
      </c>
      <c r="FG26" s="51">
        <f>DZ26/FG$2</f>
        <v/>
      </c>
      <c r="FH26" s="51">
        <f>EA26/FH$2</f>
        <v/>
      </c>
      <c r="FI26" s="51">
        <f>EB26/FI$2</f>
        <v/>
      </c>
      <c r="FJ26" s="51" t="n"/>
      <c r="FK26" s="51" t="n"/>
    </row>
    <row r="27" ht="16.5" customHeight="1" thickBot="1">
      <c r="A27" s="11" t="inlineStr">
        <is>
          <t>TOTAL</t>
        </is>
      </c>
      <c r="B27" s="20">
        <f>SUM(B20:B26)</f>
        <v/>
      </c>
      <c r="C27" s="20">
        <f>SUM(C20:C26)</f>
        <v/>
      </c>
      <c r="D27" s="20">
        <f>SUM(D20:D26)</f>
        <v/>
      </c>
      <c r="E27" s="20">
        <f>SUM(E20:E26)</f>
        <v/>
      </c>
      <c r="F27" s="20">
        <f>SUM(F20:F26)</f>
        <v/>
      </c>
      <c r="G27" s="20">
        <f>SUM(G20:G26)</f>
        <v/>
      </c>
      <c r="H27" s="20">
        <f>SUM(H20:H26)</f>
        <v/>
      </c>
      <c r="I27" s="20">
        <f>SUM(I20:I26)</f>
        <v/>
      </c>
      <c r="J27" s="20">
        <f>SUM(J20:J26)</f>
        <v/>
      </c>
      <c r="K27" s="20">
        <f>SUM(K20:K26)</f>
        <v/>
      </c>
      <c r="L27" s="20">
        <f>SUM(L20:L26)</f>
        <v/>
      </c>
      <c r="M27" s="20">
        <f>SUM(M20:M26)</f>
        <v/>
      </c>
      <c r="N27" s="20">
        <f>SUM(N20:N26)</f>
        <v/>
      </c>
      <c r="O27" s="20">
        <f>SUM(O20:O26)</f>
        <v/>
      </c>
      <c r="P27" s="20">
        <f>SUM(P20:P26)</f>
        <v/>
      </c>
      <c r="Q27" s="20">
        <f>SUM(Q20:Q26)</f>
        <v/>
      </c>
      <c r="R27" s="20">
        <f>SUM(R20:R26)</f>
        <v/>
      </c>
      <c r="S27" s="20">
        <f>SUM(S20:S26)</f>
        <v/>
      </c>
      <c r="T27" s="20">
        <f>SUM(T20:T26)</f>
        <v/>
      </c>
      <c r="U27" s="20">
        <f>SUM(U20:U26)</f>
        <v/>
      </c>
      <c r="V27" s="20">
        <f>SUM(V20:V26)</f>
        <v/>
      </c>
      <c r="W27" s="20">
        <f>SUM(W20:W26)</f>
        <v/>
      </c>
      <c r="X27" s="20">
        <f>SUM(X20:X26)</f>
        <v/>
      </c>
      <c r="Y27" s="20">
        <f>SUM(Y20:Y26)</f>
        <v/>
      </c>
      <c r="Z27" s="20">
        <f>SUM(Z20:Z26)</f>
        <v/>
      </c>
      <c r="AA27" s="20">
        <f>SUM(AA20:AA26)</f>
        <v/>
      </c>
      <c r="AB27" s="20">
        <f>SUM(AB20:AB26)</f>
        <v/>
      </c>
      <c r="AC27" s="20">
        <f>SUM(AC20:AC26)</f>
        <v/>
      </c>
      <c r="AD27" s="20">
        <f>SUM(AD20:AD26)</f>
        <v/>
      </c>
      <c r="AE27" s="20" t="n"/>
      <c r="AF27" s="21" t="n"/>
      <c r="AH27" s="11" t="inlineStr">
        <is>
          <t>TOTAL</t>
        </is>
      </c>
      <c r="AI27" s="20">
        <f>SUM(AI20:AI26)</f>
        <v/>
      </c>
      <c r="AJ27" s="20">
        <f>SUM(AJ20:AJ26)</f>
        <v/>
      </c>
      <c r="AK27" s="20">
        <f>SUM(AK20:AK26)</f>
        <v/>
      </c>
      <c r="AL27" s="20">
        <f>SUM(AL20:AL26)</f>
        <v/>
      </c>
      <c r="AM27" s="20">
        <f>SUM(AM20:AM26)</f>
        <v/>
      </c>
      <c r="AN27" s="20">
        <f>SUM(AN20:AN26)</f>
        <v/>
      </c>
      <c r="AO27" s="20">
        <f>SUM(AO20:AO26)</f>
        <v/>
      </c>
      <c r="AP27" s="20">
        <f>SUM(AP20:AP26)</f>
        <v/>
      </c>
      <c r="AQ27" s="20">
        <f>SUM(AQ20:AQ26)</f>
        <v/>
      </c>
      <c r="AR27" s="20">
        <f>SUM(AR20:AR26)</f>
        <v/>
      </c>
      <c r="AS27" s="20">
        <f>SUM(AS20:AS26)</f>
        <v/>
      </c>
      <c r="AT27" s="20">
        <f>SUM(AT20:AT26)</f>
        <v/>
      </c>
      <c r="AU27" s="20">
        <f>SUM(AU20:AU26)</f>
        <v/>
      </c>
      <c r="AV27" s="20">
        <f>SUM(AV20:AV26)</f>
        <v/>
      </c>
      <c r="AW27" s="20">
        <f>SUM(AW20:AW26)</f>
        <v/>
      </c>
      <c r="AX27" s="20">
        <f>SUM(AX20:AX26)</f>
        <v/>
      </c>
      <c r="AY27" s="20">
        <f>SUM(AY20:AY26)</f>
        <v/>
      </c>
      <c r="AZ27" s="20">
        <f>SUM(AZ20:AZ26)</f>
        <v/>
      </c>
      <c r="BA27" s="20">
        <f>SUM(BA20:BA26)</f>
        <v/>
      </c>
      <c r="BB27" s="20">
        <f>SUM(BB20:BB26)</f>
        <v/>
      </c>
      <c r="BC27" s="20">
        <f>SUM(BC20:BC26)</f>
        <v/>
      </c>
      <c r="BD27" s="20">
        <f>SUM(BD20:BD26)</f>
        <v/>
      </c>
      <c r="BE27" s="20">
        <f>SUM(BE20:BE26)</f>
        <v/>
      </c>
      <c r="BF27" s="20">
        <f>SUM(BF20:BF26)</f>
        <v/>
      </c>
      <c r="BG27" s="20">
        <f>SUM(BG20:BG26)</f>
        <v/>
      </c>
      <c r="BH27" s="20">
        <f>SUM(BH20:BH26)</f>
        <v/>
      </c>
      <c r="BI27" s="20">
        <f>SUM(BI20:BI26)</f>
        <v/>
      </c>
      <c r="BJ27" s="20">
        <f>SUM(BJ20:BJ26)</f>
        <v/>
      </c>
      <c r="BK27" s="20">
        <f>SUM(BK20:BK26)</f>
        <v/>
      </c>
      <c r="BL27" s="20">
        <f>SUM(BL20:BL26)</f>
        <v/>
      </c>
      <c r="BM27" s="21">
        <f>SUM(BM20:BM26)</f>
        <v/>
      </c>
      <c r="BO27" s="11" t="inlineStr">
        <is>
          <t>TOTAL</t>
        </is>
      </c>
      <c r="BP27" s="46">
        <f>SUM(BP20:BP26)</f>
        <v/>
      </c>
      <c r="BQ27" s="46">
        <f>SUM(BQ20:BQ26)</f>
        <v/>
      </c>
      <c r="BR27" s="46">
        <f>SUM(BR20:BR26)</f>
        <v/>
      </c>
      <c r="BS27" s="46">
        <f>SUM(BS20:BS26)</f>
        <v/>
      </c>
      <c r="BT27" s="46">
        <f>SUM(BT20:BT26)</f>
        <v/>
      </c>
      <c r="BU27" s="46">
        <f>SUM(BU20:BU26)</f>
        <v/>
      </c>
      <c r="BV27" s="46">
        <f>SUM(BV20:BV26)</f>
        <v/>
      </c>
      <c r="BW27" s="46">
        <f>SUM(BW20:BW26)</f>
        <v/>
      </c>
      <c r="BX27" s="46">
        <f>SUM(BX20:BX26)</f>
        <v/>
      </c>
      <c r="BY27" s="46">
        <f>SUM(BY20:BY26)</f>
        <v/>
      </c>
      <c r="BZ27" s="46">
        <f>SUM(BZ20:BZ26)</f>
        <v/>
      </c>
      <c r="CA27" s="46">
        <f>SUM(CA20:CA26)</f>
        <v/>
      </c>
      <c r="CB27" s="46">
        <f>SUM(CB20:CB26)</f>
        <v/>
      </c>
      <c r="CC27" s="46">
        <f>SUM(CC20:CC26)</f>
        <v/>
      </c>
      <c r="CD27" s="46">
        <f>SUM(CD20:CD26)</f>
        <v/>
      </c>
      <c r="CE27" s="46">
        <f>SUM(CE20:CE26)</f>
        <v/>
      </c>
      <c r="CF27" s="46">
        <f>SUM(CF20:CF26)</f>
        <v/>
      </c>
      <c r="CG27" s="46">
        <f>SUM(CG20:CG26)</f>
        <v/>
      </c>
      <c r="CH27" s="46">
        <f>SUM(CH20:CH26)</f>
        <v/>
      </c>
      <c r="CI27" s="46">
        <f>SUM(CI20:CI26)</f>
        <v/>
      </c>
      <c r="CJ27" s="46">
        <f>SUM(CJ20:CJ26)</f>
        <v/>
      </c>
      <c r="CK27" s="46">
        <f>SUM(CK20:CK26)</f>
        <v/>
      </c>
      <c r="CL27" s="46">
        <f>SUM(CL20:CL26)</f>
        <v/>
      </c>
      <c r="CM27" s="46">
        <f>SUM(CM20:CM26)</f>
        <v/>
      </c>
      <c r="CN27" s="46">
        <f>SUM(CN20:CN26)</f>
        <v/>
      </c>
      <c r="CO27" s="46">
        <f>SUM(CO20:CO26)</f>
        <v/>
      </c>
      <c r="CP27" s="46">
        <f>SUM(CP20:CP26)</f>
        <v/>
      </c>
      <c r="CQ27" s="46">
        <f>SUM(CQ20:CQ26)</f>
        <v/>
      </c>
      <c r="CR27" s="46">
        <f>SUM(CR20:CR26)</f>
        <v/>
      </c>
      <c r="CS27" s="46">
        <f>SUM(CS20:CS26)</f>
        <v/>
      </c>
      <c r="CT27" s="54">
        <f>SUM(CT20:CT26)</f>
        <v/>
      </c>
      <c r="CU27" s="23" t="n"/>
      <c r="CV27" s="11" t="inlineStr">
        <is>
          <t>TOTAL</t>
        </is>
      </c>
      <c r="CW27" s="23">
        <f>SUM(CW20:CW26)</f>
        <v/>
      </c>
      <c r="CY27" s="11" t="inlineStr">
        <is>
          <t>TOTAL</t>
        </is>
      </c>
      <c r="CZ27" s="20">
        <f>SUM(CZ20:CZ26)</f>
        <v/>
      </c>
      <c r="DA27" s="20">
        <f>SUM(DA20:DA26)</f>
        <v/>
      </c>
      <c r="DB27" s="20">
        <f>SUM(DB20:DB26)</f>
        <v/>
      </c>
      <c r="DC27" s="20">
        <f>SUM(DC20:DC26)</f>
        <v/>
      </c>
      <c r="DD27" s="20">
        <f>SUM(DD20:DD26)</f>
        <v/>
      </c>
      <c r="DE27" s="20">
        <f>SUM(DE20:DE26)</f>
        <v/>
      </c>
      <c r="DF27" s="20">
        <f>SUM(DF20:DF26)</f>
        <v/>
      </c>
      <c r="DG27" s="20">
        <f>SUM(DG20:DG26)</f>
        <v/>
      </c>
      <c r="DH27" s="20">
        <f>SUM(DH20:DH26)</f>
        <v/>
      </c>
      <c r="DI27" s="20">
        <f>SUM(DI20:DI26)</f>
        <v/>
      </c>
      <c r="DJ27" s="20">
        <f>SUM(DJ20:DJ26)</f>
        <v/>
      </c>
      <c r="DK27" s="20">
        <f>SUM(DK20:DK26)</f>
        <v/>
      </c>
      <c r="DL27" s="20">
        <f>SUM(DL20:DL26)</f>
        <v/>
      </c>
      <c r="DM27" s="20">
        <f>SUM(DM20:DM26)</f>
        <v/>
      </c>
      <c r="DN27" s="20">
        <f>SUM(DN20:DN26)</f>
        <v/>
      </c>
      <c r="DO27" s="20">
        <f>SUM(DO20:DO26)</f>
        <v/>
      </c>
      <c r="DP27" s="20">
        <f>SUM(DP20:DP26)</f>
        <v/>
      </c>
      <c r="DQ27" s="20">
        <f>SUM(DQ20:DQ26)</f>
        <v/>
      </c>
      <c r="DR27" s="20">
        <f>SUM(DR20:DR26)</f>
        <v/>
      </c>
      <c r="DS27" s="20">
        <f>SUM(DS20:DS26)</f>
        <v/>
      </c>
      <c r="DT27" s="20">
        <f>SUM(DT20:DT26)</f>
        <v/>
      </c>
      <c r="DU27" s="20">
        <f>SUM(DU20:DU26)</f>
        <v/>
      </c>
      <c r="DV27" s="20">
        <f>SUM(DV20:DV26)</f>
        <v/>
      </c>
      <c r="DW27" s="20">
        <f>SUM(DW20:DW26)</f>
        <v/>
      </c>
      <c r="DX27" s="20">
        <f>SUM(DX20:DX26)</f>
        <v/>
      </c>
      <c r="DY27" s="20">
        <f>SUM(DY20:DY26)</f>
        <v/>
      </c>
      <c r="DZ27" s="20">
        <f>SUM(DZ20:DZ26)</f>
        <v/>
      </c>
      <c r="EA27" s="20">
        <f>SUM(EA20:EA26)</f>
        <v/>
      </c>
      <c r="EB27" s="20">
        <f>SUM(EB20:EB26)</f>
        <v/>
      </c>
      <c r="EC27" s="20">
        <f>SUM(EC20:EC26)</f>
        <v/>
      </c>
      <c r="ED27" s="21">
        <f>SUM(ED20:ED26)</f>
        <v/>
      </c>
      <c r="EF27" s="11" t="inlineStr">
        <is>
          <t>TOTAL</t>
        </is>
      </c>
      <c r="EG27" s="46">
        <f>SUM(EG20:EG26)</f>
        <v/>
      </c>
      <c r="EH27" s="46">
        <f>SUM(EH20:EH26)</f>
        <v/>
      </c>
      <c r="EI27" s="46">
        <f>SUM(EI20:EI26)</f>
        <v/>
      </c>
      <c r="EJ27" s="51">
        <f>SUM(EJ20:EJ26)</f>
        <v/>
      </c>
      <c r="EK27" s="51">
        <f>SUM(EK20:EK26)</f>
        <v/>
      </c>
      <c r="EL27" s="51">
        <f>SUM(EL20:EL26)</f>
        <v/>
      </c>
      <c r="EM27" s="51">
        <f>SUM(EM20:EM26)</f>
        <v/>
      </c>
      <c r="EN27" s="51">
        <f>SUM(EN20:EN26)</f>
        <v/>
      </c>
      <c r="EO27" s="51">
        <f>SUM(EO20:EO26)</f>
        <v/>
      </c>
      <c r="EP27" s="51">
        <f>SUM(EP20:EP26)</f>
        <v/>
      </c>
      <c r="EQ27" s="51">
        <f>SUM(EQ20:EQ26)</f>
        <v/>
      </c>
      <c r="ER27" s="51">
        <f>SUM(ER20:ER26)</f>
        <v/>
      </c>
      <c r="ES27" s="51">
        <f>SUM(ES20:ES26)</f>
        <v/>
      </c>
      <c r="ET27" s="51">
        <f>SUM(ET20:ET26)</f>
        <v/>
      </c>
      <c r="EU27" s="51">
        <f>SUM(EU20:EU26)</f>
        <v/>
      </c>
      <c r="EV27" s="51">
        <f>SUM(EV20:EV26)</f>
        <v/>
      </c>
      <c r="EW27" s="51">
        <f>SUM(EW20:EW26)</f>
        <v/>
      </c>
      <c r="EX27" s="51">
        <f>SUM(EX20:EX26)</f>
        <v/>
      </c>
      <c r="EY27" s="51">
        <f>SUM(EY20:EY26)</f>
        <v/>
      </c>
      <c r="EZ27" s="51">
        <f>SUM(EZ20:EZ26)</f>
        <v/>
      </c>
      <c r="FA27" s="51">
        <f>SUM(FA20:FA26)</f>
        <v/>
      </c>
      <c r="FB27" s="51">
        <f>SUM(FB20:FB26)</f>
        <v/>
      </c>
      <c r="FC27" s="51">
        <f>SUM(FC20:FC26)</f>
        <v/>
      </c>
      <c r="FD27" s="51">
        <f>SUM(FD20:FD26)</f>
        <v/>
      </c>
      <c r="FE27" s="51">
        <f>SUM(FE20:FE26)</f>
        <v/>
      </c>
      <c r="FF27" s="51">
        <f>SUM(FF20:FF26)</f>
        <v/>
      </c>
      <c r="FG27" s="51">
        <f>SUM(FG20:FG26)</f>
        <v/>
      </c>
      <c r="FH27" s="51">
        <f>SUM(FH20:FH26)</f>
        <v/>
      </c>
      <c r="FI27" s="51">
        <f>SUM(FI20:FI26)</f>
        <v/>
      </c>
      <c r="FJ27" s="51">
        <f>EC27/FJ$19</f>
        <v/>
      </c>
      <c r="FK27" s="51">
        <f>ED27/FK$19</f>
        <v/>
      </c>
    </row>
    <row r="29" ht="15.75" customHeight="1" thickBot="1"/>
    <row r="30" ht="21.75" customHeight="1" thickBot="1">
      <c r="A30" s="2185" t="inlineStr">
        <is>
          <t>LAST YEAR COMMODITYWISE DAILY LOADING ( COPY PASTE VALUE ONLY)</t>
        </is>
      </c>
      <c r="B30" s="2141" t="n"/>
      <c r="C30" s="2141" t="n"/>
      <c r="D30" s="2141" t="n"/>
      <c r="E30" s="2141" t="n"/>
      <c r="F30" s="2141" t="n"/>
      <c r="G30" s="2141" t="n"/>
      <c r="H30" s="2141" t="n"/>
      <c r="I30" s="2141" t="n"/>
      <c r="J30" s="2141" t="n"/>
      <c r="K30" s="2141" t="n"/>
      <c r="L30" s="2141" t="n"/>
      <c r="M30" s="2141" t="n"/>
      <c r="N30" s="2141" t="n"/>
      <c r="O30" s="2141" t="n"/>
      <c r="P30" s="2141" t="n"/>
      <c r="Q30" s="2141" t="n"/>
      <c r="R30" s="2141" t="n"/>
      <c r="S30" s="2141" t="n"/>
      <c r="T30" s="2141" t="n"/>
      <c r="U30" s="2141" t="n"/>
      <c r="V30" s="2141" t="n"/>
      <c r="W30" s="2141" t="n"/>
      <c r="X30" s="2141" t="n"/>
      <c r="Y30" s="2141" t="n"/>
      <c r="Z30" s="2141" t="n"/>
      <c r="AA30" s="2141" t="n"/>
      <c r="AB30" s="2141" t="n"/>
      <c r="AC30" s="2141" t="n"/>
      <c r="AD30" s="2141" t="n"/>
      <c r="AE30" s="2141" t="n"/>
      <c r="AF30" s="2147" t="n"/>
      <c r="AH30" s="2185" t="inlineStr">
        <is>
          <t>LAST YEAR COMMODITY WISEMONTHLY  CUMMULATIVE  LOADING ( COPY PASTE VALUE ONLY)</t>
        </is>
      </c>
      <c r="AI30" s="2141" t="n"/>
      <c r="AJ30" s="2141" t="n"/>
      <c r="AK30" s="2141" t="n"/>
      <c r="AL30" s="2141" t="n"/>
      <c r="AM30" s="2141" t="n"/>
      <c r="AN30" s="2141" t="n"/>
      <c r="AO30" s="2141" t="n"/>
      <c r="AP30" s="2141" t="n"/>
      <c r="AQ30" s="2141" t="n"/>
      <c r="AR30" s="2141" t="n"/>
      <c r="AS30" s="2141" t="n"/>
      <c r="AT30" s="2141" t="n"/>
      <c r="AU30" s="2141" t="n"/>
      <c r="AV30" s="2141" t="n"/>
      <c r="AW30" s="2141" t="n"/>
      <c r="AX30" s="2141" t="n"/>
      <c r="AY30" s="2141" t="n"/>
      <c r="AZ30" s="2141" t="n"/>
      <c r="BA30" s="2141" t="n"/>
      <c r="BB30" s="2141" t="n"/>
      <c r="BC30" s="2141" t="n"/>
      <c r="BD30" s="2141" t="n"/>
      <c r="BE30" s="2141" t="n"/>
      <c r="BF30" s="2141" t="n"/>
      <c r="BG30" s="2141" t="n"/>
      <c r="BH30" s="2141" t="n"/>
      <c r="BI30" s="2141" t="n"/>
      <c r="BJ30" s="2141" t="n"/>
      <c r="BK30" s="2141" t="n"/>
      <c r="BL30" s="2141" t="n"/>
      <c r="BM30" s="2147" t="n"/>
      <c r="BO30" s="2182" t="inlineStr">
        <is>
          <t>LAST YEAR COMMODITYWISE   MONTHLY  AVGLOADING ( COPY PASTE VALUE ONLY)</t>
        </is>
      </c>
      <c r="BP30" s="2141" t="n"/>
      <c r="BQ30" s="2141" t="n"/>
      <c r="BR30" s="2141" t="n"/>
      <c r="BS30" s="2141" t="n"/>
      <c r="BT30" s="2141" t="n"/>
      <c r="BU30" s="2141" t="n"/>
      <c r="BV30" s="2141" t="n"/>
      <c r="BW30" s="2141" t="n"/>
      <c r="BX30" s="2141" t="n"/>
      <c r="BY30" s="2141" t="n"/>
      <c r="BZ30" s="2141" t="n"/>
      <c r="CA30" s="2141" t="n"/>
      <c r="CB30" s="2141" t="n"/>
      <c r="CC30" s="2141" t="n"/>
      <c r="CD30" s="2141" t="n"/>
      <c r="CE30" s="2141" t="n"/>
      <c r="CF30" s="2141" t="n"/>
      <c r="CG30" s="2141" t="n"/>
      <c r="CH30" s="2141" t="n"/>
      <c r="CI30" s="2141" t="n"/>
      <c r="CJ30" s="2141" t="n"/>
      <c r="CK30" s="2141" t="n"/>
      <c r="CL30" s="2141" t="n"/>
      <c r="CM30" s="2141" t="n"/>
      <c r="CN30" s="2141" t="n"/>
      <c r="CO30" s="2141" t="n"/>
      <c r="CP30" s="2141" t="n"/>
      <c r="CQ30" s="2141" t="n"/>
      <c r="CR30" s="2141" t="n"/>
      <c r="CS30" s="2141" t="n"/>
      <c r="CT30" s="2147" t="n"/>
      <c r="CU30" s="2135" t="n"/>
      <c r="CV30" s="2135" t="n"/>
      <c r="CW30" s="2135" t="n"/>
      <c r="CY30" s="2185" t="inlineStr">
        <is>
          <t>LAST YEAR COMMODITYWISE   YEARLY  AVGLOADING ( COPY PASTE VALUE ONLY)</t>
        </is>
      </c>
      <c r="CZ30" s="2141" t="n"/>
      <c r="DA30" s="2141" t="n"/>
      <c r="DB30" s="2141" t="n"/>
      <c r="DC30" s="2141" t="n"/>
      <c r="DD30" s="2141" t="n"/>
      <c r="DE30" s="2141" t="n"/>
      <c r="DF30" s="2141" t="n"/>
      <c r="DG30" s="2141" t="n"/>
      <c r="DH30" s="2141" t="n"/>
      <c r="DI30" s="2141" t="n"/>
      <c r="DJ30" s="2141" t="n"/>
      <c r="DK30" s="2141" t="n"/>
      <c r="DL30" s="2141" t="n"/>
      <c r="DM30" s="2141" t="n"/>
      <c r="DN30" s="2141" t="n"/>
      <c r="DO30" s="2141" t="n"/>
      <c r="DP30" s="2141" t="n"/>
      <c r="DQ30" s="2141" t="n"/>
      <c r="DR30" s="2141" t="n"/>
      <c r="DS30" s="2141" t="n"/>
      <c r="DT30" s="2141" t="n"/>
      <c r="DU30" s="2141" t="n"/>
      <c r="DV30" s="2141" t="n"/>
      <c r="DW30" s="2141" t="n"/>
      <c r="DX30" s="2141" t="n"/>
      <c r="DY30" s="2141" t="n"/>
      <c r="DZ30" s="2141" t="n"/>
      <c r="EA30" s="2141" t="n"/>
      <c r="EB30" s="2141" t="n"/>
      <c r="EC30" s="2141" t="n"/>
      <c r="ED30" s="2147" t="n"/>
    </row>
    <row r="31" ht="15.75" customHeight="1" thickBot="1">
      <c r="A31" s="606" t="inlineStr">
        <is>
          <t>COMM</t>
        </is>
      </c>
      <c r="B31" s="583" t="n">
        <v>1</v>
      </c>
      <c r="C31" s="583" t="n">
        <v>2</v>
      </c>
      <c r="D31" s="583" t="n">
        <v>3</v>
      </c>
      <c r="E31" s="583" t="n">
        <v>4</v>
      </c>
      <c r="F31" s="583" t="n">
        <v>5</v>
      </c>
      <c r="G31" s="583" t="n">
        <v>6</v>
      </c>
      <c r="H31" s="583" t="n">
        <v>7</v>
      </c>
      <c r="I31" s="583" t="n">
        <v>8</v>
      </c>
      <c r="J31" s="583" t="n">
        <v>9</v>
      </c>
      <c r="K31" s="583" t="n">
        <v>10</v>
      </c>
      <c r="L31" s="583" t="n">
        <v>11</v>
      </c>
      <c r="M31" s="583" t="n">
        <v>12</v>
      </c>
      <c r="N31" s="583" t="n">
        <v>13</v>
      </c>
      <c r="O31" s="583" t="n">
        <v>14</v>
      </c>
      <c r="P31" s="583" t="n">
        <v>15</v>
      </c>
      <c r="Q31" s="583" t="n">
        <v>16</v>
      </c>
      <c r="R31" s="583" t="n">
        <v>17</v>
      </c>
      <c r="S31" s="583" t="n">
        <v>18</v>
      </c>
      <c r="T31" s="583" t="n">
        <v>19</v>
      </c>
      <c r="U31" s="583" t="n">
        <v>20</v>
      </c>
      <c r="V31" s="583" t="n">
        <v>21</v>
      </c>
      <c r="W31" s="583" t="n">
        <v>22</v>
      </c>
      <c r="X31" s="583" t="n">
        <v>23</v>
      </c>
      <c r="Y31" s="583" t="n">
        <v>24</v>
      </c>
      <c r="Z31" s="583" t="n">
        <v>25</v>
      </c>
      <c r="AA31" s="583" t="n">
        <v>26</v>
      </c>
      <c r="AB31" s="583" t="n">
        <v>27</v>
      </c>
      <c r="AC31" s="583" t="n">
        <v>28</v>
      </c>
      <c r="AD31" s="583" t="n">
        <v>29</v>
      </c>
      <c r="AE31" s="583" t="n">
        <v>30</v>
      </c>
      <c r="AF31" s="584" t="n">
        <v>31</v>
      </c>
      <c r="AH31" s="2" t="inlineStr">
        <is>
          <t>COMM</t>
        </is>
      </c>
      <c r="AI31" s="3" t="n">
        <v>1</v>
      </c>
      <c r="AJ31" s="3" t="n">
        <v>2</v>
      </c>
      <c r="AK31" s="3" t="n">
        <v>3</v>
      </c>
      <c r="AL31" s="3" t="n">
        <v>4</v>
      </c>
      <c r="AM31" s="3" t="n">
        <v>5</v>
      </c>
      <c r="AN31" s="3" t="n">
        <v>6</v>
      </c>
      <c r="AO31" s="3" t="n">
        <v>7</v>
      </c>
      <c r="AP31" s="3" t="n">
        <v>8</v>
      </c>
      <c r="AQ31" s="3" t="n">
        <v>9</v>
      </c>
      <c r="AR31" s="3" t="n">
        <v>10</v>
      </c>
      <c r="AS31" s="3" t="n">
        <v>11</v>
      </c>
      <c r="AT31" s="3" t="n">
        <v>12</v>
      </c>
      <c r="AU31" s="3" t="n">
        <v>13</v>
      </c>
      <c r="AV31" s="3" t="n">
        <v>14</v>
      </c>
      <c r="AW31" s="3" t="n">
        <v>15</v>
      </c>
      <c r="AX31" s="3" t="n">
        <v>16</v>
      </c>
      <c r="AY31" s="3" t="n">
        <v>17</v>
      </c>
      <c r="AZ31" s="3" t="n">
        <v>18</v>
      </c>
      <c r="BA31" s="3" t="n">
        <v>19</v>
      </c>
      <c r="BB31" s="3" t="n">
        <v>20</v>
      </c>
      <c r="BC31" s="3" t="n">
        <v>21</v>
      </c>
      <c r="BD31" s="3" t="n">
        <v>22</v>
      </c>
      <c r="BE31" s="3" t="n">
        <v>23</v>
      </c>
      <c r="BF31" s="3" t="n">
        <v>24</v>
      </c>
      <c r="BG31" s="3" t="n">
        <v>25</v>
      </c>
      <c r="BH31" s="3" t="n">
        <v>26</v>
      </c>
      <c r="BI31" s="3" t="n">
        <v>27</v>
      </c>
      <c r="BJ31" s="3" t="n">
        <v>28</v>
      </c>
      <c r="BK31" s="3" t="n">
        <v>29</v>
      </c>
      <c r="BL31" s="3" t="n">
        <v>30</v>
      </c>
      <c r="BM31" s="5" t="n">
        <v>31</v>
      </c>
      <c r="BO31" s="2" t="inlineStr">
        <is>
          <t>COMM</t>
        </is>
      </c>
      <c r="BP31" s="3" t="n">
        <v>1</v>
      </c>
      <c r="BQ31" s="3" t="n">
        <v>2</v>
      </c>
      <c r="BR31" s="3" t="n">
        <v>3</v>
      </c>
      <c r="BS31" s="3" t="n">
        <v>4</v>
      </c>
      <c r="BT31" s="3" t="n">
        <v>5</v>
      </c>
      <c r="BU31" s="3" t="n">
        <v>6</v>
      </c>
      <c r="BV31" s="3" t="n">
        <v>7</v>
      </c>
      <c r="BW31" s="3" t="n">
        <v>8</v>
      </c>
      <c r="BX31" s="3" t="n">
        <v>9</v>
      </c>
      <c r="BY31" s="3" t="n">
        <v>10</v>
      </c>
      <c r="BZ31" s="3" t="n">
        <v>11</v>
      </c>
      <c r="CA31" s="3" t="n">
        <v>12</v>
      </c>
      <c r="CB31" s="3" t="n">
        <v>13</v>
      </c>
      <c r="CC31" s="3" t="n">
        <v>14</v>
      </c>
      <c r="CD31" s="3" t="n">
        <v>15</v>
      </c>
      <c r="CE31" s="3" t="n">
        <v>16</v>
      </c>
      <c r="CF31" s="3" t="n">
        <v>17</v>
      </c>
      <c r="CG31" s="3" t="n">
        <v>18</v>
      </c>
      <c r="CH31" s="3" t="n">
        <v>19</v>
      </c>
      <c r="CI31" s="3" t="n">
        <v>20</v>
      </c>
      <c r="CJ31" s="3" t="n">
        <v>21</v>
      </c>
      <c r="CK31" s="3" t="n">
        <v>22</v>
      </c>
      <c r="CL31" s="3" t="n">
        <v>23</v>
      </c>
      <c r="CM31" s="3" t="n">
        <v>24</v>
      </c>
      <c r="CN31" s="3" t="n">
        <v>25</v>
      </c>
      <c r="CO31" s="3" t="n">
        <v>26</v>
      </c>
      <c r="CP31" s="3" t="n">
        <v>27</v>
      </c>
      <c r="CQ31" s="3" t="n">
        <v>28</v>
      </c>
      <c r="CR31" s="3" t="n">
        <v>29</v>
      </c>
      <c r="CS31" s="3" t="n">
        <v>30</v>
      </c>
      <c r="CT31" s="5" t="n">
        <v>31</v>
      </c>
      <c r="CU31" s="2135" t="n"/>
      <c r="CV31" s="2135" t="n"/>
      <c r="CW31" s="2135" t="n"/>
      <c r="CY31" s="2" t="inlineStr">
        <is>
          <t>COMM</t>
        </is>
      </c>
      <c r="CZ31" s="3" t="n">
        <v>1</v>
      </c>
      <c r="DA31" s="3" t="n">
        <v>2</v>
      </c>
      <c r="DB31" s="3" t="n">
        <v>3</v>
      </c>
      <c r="DC31" s="3" t="n">
        <v>4</v>
      </c>
      <c r="DD31" s="3" t="n">
        <v>5</v>
      </c>
      <c r="DE31" s="3" t="n">
        <v>6</v>
      </c>
      <c r="DF31" s="3" t="n">
        <v>7</v>
      </c>
      <c r="DG31" s="3" t="n">
        <v>8</v>
      </c>
      <c r="DH31" s="3" t="n">
        <v>9</v>
      </c>
      <c r="DI31" s="3" t="n">
        <v>10</v>
      </c>
      <c r="DJ31" s="3" t="n">
        <v>11</v>
      </c>
      <c r="DK31" s="3" t="n">
        <v>12</v>
      </c>
      <c r="DL31" s="3" t="n">
        <v>13</v>
      </c>
      <c r="DM31" s="3" t="n">
        <v>14</v>
      </c>
      <c r="DN31" s="3" t="n">
        <v>15</v>
      </c>
      <c r="DO31" s="3" t="n">
        <v>16</v>
      </c>
      <c r="DP31" s="3" t="n">
        <v>17</v>
      </c>
      <c r="DQ31" s="3" t="n">
        <v>18</v>
      </c>
      <c r="DR31" s="3" t="n">
        <v>19</v>
      </c>
      <c r="DS31" s="3" t="n">
        <v>20</v>
      </c>
      <c r="DT31" s="3" t="n">
        <v>21</v>
      </c>
      <c r="DU31" s="3" t="n">
        <v>22</v>
      </c>
      <c r="DV31" s="3" t="n">
        <v>23</v>
      </c>
      <c r="DW31" s="3" t="n">
        <v>24</v>
      </c>
      <c r="DX31" s="3" t="n">
        <v>25</v>
      </c>
      <c r="DY31" s="3" t="n">
        <v>26</v>
      </c>
      <c r="DZ31" s="3" t="n">
        <v>27</v>
      </c>
      <c r="EA31" s="3" t="n">
        <v>28</v>
      </c>
      <c r="EB31" s="3" t="n">
        <v>29</v>
      </c>
      <c r="EC31" s="3" t="n">
        <v>30</v>
      </c>
      <c r="ED31" s="5" t="n">
        <v>31</v>
      </c>
    </row>
    <row r="32" ht="16.5" customHeight="1" thickBot="1">
      <c r="A32" s="12" t="inlineStr">
        <is>
          <t>CEM</t>
        </is>
      </c>
      <c r="B32" s="589" t="n">
        <v>0</v>
      </c>
      <c r="C32" s="589" t="n">
        <v>0</v>
      </c>
      <c r="D32" s="589" t="n">
        <v>0</v>
      </c>
      <c r="E32" s="589" t="n">
        <v>0</v>
      </c>
      <c r="F32" s="589" t="n">
        <v>0</v>
      </c>
      <c r="G32" s="589" t="n">
        <v>0</v>
      </c>
      <c r="H32" s="589" t="n">
        <v>0</v>
      </c>
      <c r="I32" s="589" t="n">
        <v>0</v>
      </c>
      <c r="J32" s="589" t="n">
        <v>0</v>
      </c>
      <c r="K32" s="589" t="n">
        <v>0</v>
      </c>
      <c r="L32" s="589" t="n">
        <v>0</v>
      </c>
      <c r="M32" s="589" t="n">
        <v>0</v>
      </c>
      <c r="N32" s="589" t="n">
        <v>0</v>
      </c>
      <c r="O32" s="589" t="n">
        <v>0</v>
      </c>
      <c r="P32" s="589" t="n">
        <v>0</v>
      </c>
      <c r="Q32" s="589" t="n">
        <v>0</v>
      </c>
      <c r="R32" s="589" t="n">
        <v>0</v>
      </c>
      <c r="S32" s="589" t="n">
        <v>0</v>
      </c>
      <c r="T32" s="589" t="n">
        <v>0</v>
      </c>
      <c r="U32" s="589" t="n">
        <v>0</v>
      </c>
      <c r="V32" s="589" t="n">
        <v>0</v>
      </c>
      <c r="W32" s="589" t="n">
        <v>0</v>
      </c>
      <c r="X32" s="589" t="n">
        <v>0</v>
      </c>
      <c r="Y32" s="589" t="n">
        <v>0</v>
      </c>
      <c r="Z32" s="589" t="n">
        <v>0</v>
      </c>
      <c r="AA32" s="589" t="n">
        <v>0</v>
      </c>
      <c r="AB32" s="589" t="n">
        <v>0</v>
      </c>
      <c r="AC32" s="589" t="n">
        <v>0</v>
      </c>
      <c r="AD32" s="589" t="n">
        <v>0</v>
      </c>
      <c r="AE32" s="589" t="n"/>
      <c r="AF32" s="590" t="n"/>
      <c r="AH32" s="13" t="inlineStr">
        <is>
          <t>CEM</t>
        </is>
      </c>
      <c r="AI32" s="55">
        <f>SUM($B32:B32)/1</f>
        <v/>
      </c>
      <c r="AJ32" s="55">
        <f>SUM($B32:C32)/2</f>
        <v/>
      </c>
      <c r="AK32" s="55">
        <f>SUM($B32:D32)/3</f>
        <v/>
      </c>
      <c r="AL32" s="55">
        <f>SUM($B32:E32)/4</f>
        <v/>
      </c>
      <c r="AM32" s="55">
        <f>SUM($B32:F32)/5</f>
        <v/>
      </c>
      <c r="AN32" s="55">
        <f>SUM($B32:G32)/6</f>
        <v/>
      </c>
      <c r="AO32" s="55">
        <f>SUM($B32:H32)/7</f>
        <v/>
      </c>
      <c r="AP32" s="55">
        <f>SUM($B32:I32)/8</f>
        <v/>
      </c>
      <c r="AQ32" s="55">
        <f>SUM($B32:J32)/9</f>
        <v/>
      </c>
      <c r="AR32" s="55">
        <f>SUM($B32:K32)/10</f>
        <v/>
      </c>
      <c r="AS32" s="55">
        <f>SUM($B32:L32)/11</f>
        <v/>
      </c>
      <c r="AT32" s="55">
        <f>SUM($B32:M32)/12</f>
        <v/>
      </c>
      <c r="AU32" s="55">
        <f>SUM($B32:N32)/13</f>
        <v/>
      </c>
      <c r="AV32" s="55">
        <f>SUM($B32:O32)/14</f>
        <v/>
      </c>
      <c r="AW32" s="55">
        <f>SUM($B32:P32)/15</f>
        <v/>
      </c>
      <c r="AX32" s="55">
        <f>SUM($B32:Q32)/16</f>
        <v/>
      </c>
      <c r="AY32" s="55">
        <f>SUM($B32:R32)/17</f>
        <v/>
      </c>
      <c r="AZ32" s="55">
        <f>SUM($B32:S32)/18</f>
        <v/>
      </c>
      <c r="BA32" s="55">
        <f>SUM($B32:T32)/19</f>
        <v/>
      </c>
      <c r="BB32" s="55">
        <f>SUM($B32:U32)/20</f>
        <v/>
      </c>
      <c r="BC32" s="55">
        <f>SUM($B32:V32)/21</f>
        <v/>
      </c>
      <c r="BD32" s="55">
        <f>SUM($B32:W32)/22</f>
        <v/>
      </c>
      <c r="BE32" s="55">
        <f>SUM($B32:X32)/23</f>
        <v/>
      </c>
      <c r="BF32" s="55">
        <f>SUM($B32:Y32)/24</f>
        <v/>
      </c>
      <c r="BG32" s="55">
        <f>SUM($B32:Z32)/25</f>
        <v/>
      </c>
      <c r="BH32" s="55">
        <f>SUM($B32:AA32)/26</f>
        <v/>
      </c>
      <c r="BI32" s="55">
        <f>SUM($B32:AB32)/27</f>
        <v/>
      </c>
      <c r="BJ32" s="55">
        <f>SUM($B32:AC32)/28</f>
        <v/>
      </c>
      <c r="BK32" s="55">
        <f>SUM($B32:AD32)/29</f>
        <v/>
      </c>
      <c r="BL32" s="55" t="n"/>
      <c r="BM32" s="55" t="n"/>
      <c r="BO32" s="13" t="inlineStr">
        <is>
          <t>CEM</t>
        </is>
      </c>
      <c r="BP32" s="51">
        <f>(0.0+SUM($B32:B32))/(306+1)</f>
        <v/>
      </c>
      <c r="BQ32" s="51">
        <f>(0.0+SUM($B32:C32))/(306+2)</f>
        <v/>
      </c>
      <c r="BR32" s="51">
        <f>(0.0+SUM($B32:D32))/(306+3)</f>
        <v/>
      </c>
      <c r="BS32" s="51">
        <f>(0.0+SUM($B32:E32))/(306+4)</f>
        <v/>
      </c>
      <c r="BT32" s="51">
        <f>(0.0+SUM($B32:F32))/(306+5)</f>
        <v/>
      </c>
      <c r="BU32" s="51">
        <f>(0.0+SUM($B32:G32))/(306+6)</f>
        <v/>
      </c>
      <c r="BV32" s="51">
        <f>(0.0+SUM($B32:H32))/(306+7)</f>
        <v/>
      </c>
      <c r="BW32" s="51">
        <f>(0.0+SUM($B32:I32))/(306+8)</f>
        <v/>
      </c>
      <c r="BX32" s="51">
        <f>(0.0+SUM($B32:J32))/(306+9)</f>
        <v/>
      </c>
      <c r="BY32" s="51">
        <f>(0.0+SUM($B32:K32))/(306+10)</f>
        <v/>
      </c>
      <c r="BZ32" s="51">
        <f>(0.0+SUM($B32:L32))/(306+11)</f>
        <v/>
      </c>
      <c r="CA32" s="51">
        <f>(0.0+SUM($B32:M32))/(306+12)</f>
        <v/>
      </c>
      <c r="CB32" s="51">
        <f>(0.0+SUM($B32:N32))/(306+13)</f>
        <v/>
      </c>
      <c r="CC32" s="51">
        <f>(0.0+SUM($B32:O32))/(306+14)</f>
        <v/>
      </c>
      <c r="CD32" s="51">
        <f>(0.0+SUM($B32:P32))/(306+15)</f>
        <v/>
      </c>
      <c r="CE32" s="51">
        <f>(0.0+SUM($B32:Q32))/(306+16)</f>
        <v/>
      </c>
      <c r="CF32" s="51">
        <f>(0.0+SUM($B32:R32))/(306+17)</f>
        <v/>
      </c>
      <c r="CG32" s="51">
        <f>(0.0+SUM($B32:S32))/(306+18)</f>
        <v/>
      </c>
      <c r="CH32" s="51">
        <f>(0.0+SUM($B32:T32))/(306+19)</f>
        <v/>
      </c>
      <c r="CI32" s="51">
        <f>(0.0+SUM($B32:U32))/(306+20)</f>
        <v/>
      </c>
      <c r="CJ32" s="51">
        <f>(0.0+SUM($B32:V32))/(306+21)</f>
        <v/>
      </c>
      <c r="CK32" s="51">
        <f>(0.0+SUM($B32:W32))/(306+22)</f>
        <v/>
      </c>
      <c r="CL32" s="51">
        <f>(0.0+SUM($B32:X32))/(306+23)</f>
        <v/>
      </c>
      <c r="CM32" s="51">
        <f>(0.0+SUM($B32:Y32))/(306+24)</f>
        <v/>
      </c>
      <c r="CN32" s="51">
        <f>(0.0+SUM($B32:Z32))/(306+25)</f>
        <v/>
      </c>
      <c r="CO32" s="51">
        <f>(0.0+SUM($B32:AA32))/(306+26)</f>
        <v/>
      </c>
      <c r="CP32" s="51">
        <f>(0.0+SUM($B32:AB32))/(306+27)</f>
        <v/>
      </c>
      <c r="CQ32" s="51">
        <f>(0.0+SUM($B32:AC32))/(306+28)</f>
        <v/>
      </c>
      <c r="CR32" s="51">
        <f>(0.0+SUM($B32:AD32))/(306+29)</f>
        <v/>
      </c>
      <c r="CS32" s="51" t="n"/>
      <c r="CT32" s="50" t="n"/>
      <c r="CU32" s="23" t="n"/>
      <c r="CV32" s="23" t="n"/>
      <c r="CW32" s="23" t="n"/>
      <c r="CY32" s="13" t="inlineStr">
        <is>
          <t>CEM</t>
        </is>
      </c>
      <c r="CZ32" s="51" t="n">
        <v>586.4715447154472</v>
      </c>
      <c r="DA32" s="51" t="n">
        <v>586.2096774193549</v>
      </c>
      <c r="DB32" s="51" t="n">
        <v>586.896</v>
      </c>
      <c r="DC32" s="51" t="n">
        <v>586.031746031746</v>
      </c>
      <c r="DD32" s="51" t="n">
        <v>585.1023622047244</v>
      </c>
      <c r="DE32" s="51" t="n">
        <v>585.796875</v>
      </c>
      <c r="DF32" s="51" t="n">
        <v>584.8914728682171</v>
      </c>
      <c r="DG32" s="51" t="n">
        <v>583.6153846153846</v>
      </c>
      <c r="DH32" s="51" t="n">
        <v>581.9770992366413</v>
      </c>
      <c r="DI32" s="51" t="n">
        <v>581.1212121212121</v>
      </c>
      <c r="DJ32" s="51" t="n">
        <v>579.1353383458646</v>
      </c>
      <c r="DK32" s="51" t="n">
        <v>577.2835820895523</v>
      </c>
      <c r="DL32" s="51" t="n">
        <v>576.0962962962963</v>
      </c>
      <c r="DM32" s="51" t="n">
        <v>574.75</v>
      </c>
      <c r="DN32" s="51" t="n">
        <v>573.4379562043796</v>
      </c>
      <c r="DO32" s="51" t="n">
        <v>571.695652173913</v>
      </c>
      <c r="DP32" s="51" t="n">
        <v>570.31654676259</v>
      </c>
      <c r="DQ32" s="51" t="n">
        <v>568.3571428571429</v>
      </c>
      <c r="DR32" s="51" t="n">
        <v>566.5248226950355</v>
      </c>
      <c r="DS32" s="51" t="n">
        <v>565.5</v>
      </c>
      <c r="DT32" s="51" t="n">
        <v>564.9230769230769</v>
      </c>
      <c r="DU32" s="51" t="n">
        <v>565.2638888888889</v>
      </c>
      <c r="DV32" s="51" t="n">
        <v>564.3793103448276</v>
      </c>
      <c r="DW32" s="51" t="n">
        <v>562.4657534246576</v>
      </c>
      <c r="DX32" s="51" t="n">
        <v>562.3061224489796</v>
      </c>
      <c r="DY32" s="51" t="n">
        <v>561.3986486486486</v>
      </c>
      <c r="DZ32" s="51" t="n">
        <v>561.6241610738255</v>
      </c>
      <c r="EA32" s="51" t="n">
        <v>561.84</v>
      </c>
      <c r="EB32" s="51" t="n">
        <v>560.6158940397351</v>
      </c>
      <c r="EC32" s="51" t="n">
        <v>559.3947368421053</v>
      </c>
      <c r="ED32" s="50" t="n">
        <v>560.0130718954248</v>
      </c>
    </row>
    <row r="33" ht="16.5" customHeight="1" thickBot="1">
      <c r="A33" s="13" t="inlineStr">
        <is>
          <t>COAL</t>
        </is>
      </c>
      <c r="B33" s="588" t="n">
        <v>0</v>
      </c>
      <c r="C33" s="588" t="n">
        <v>0</v>
      </c>
      <c r="D33" s="588" t="n">
        <v>0</v>
      </c>
      <c r="E33" s="588" t="n">
        <v>0</v>
      </c>
      <c r="F33" s="588" t="n">
        <v>0</v>
      </c>
      <c r="G33" s="588" t="n">
        <v>0</v>
      </c>
      <c r="H33" s="588" t="n">
        <v>0</v>
      </c>
      <c r="I33" s="588" t="n">
        <v>0</v>
      </c>
      <c r="J33" s="588" t="n">
        <v>0</v>
      </c>
      <c r="K33" s="588" t="n">
        <v>0</v>
      </c>
      <c r="L33" s="588" t="n">
        <v>0</v>
      </c>
      <c r="M33" s="588" t="n">
        <v>0</v>
      </c>
      <c r="N33" s="588" t="n">
        <v>0</v>
      </c>
      <c r="O33" s="588" t="n">
        <v>0</v>
      </c>
      <c r="P33" s="588" t="n">
        <v>0</v>
      </c>
      <c r="Q33" s="588" t="n">
        <v>0</v>
      </c>
      <c r="R33" s="588" t="n">
        <v>0</v>
      </c>
      <c r="S33" s="588" t="n">
        <v>0</v>
      </c>
      <c r="T33" s="588" t="n">
        <v>0</v>
      </c>
      <c r="U33" s="588" t="n">
        <v>0</v>
      </c>
      <c r="V33" s="588" t="n">
        <v>0</v>
      </c>
      <c r="W33" s="588" t="n">
        <v>0</v>
      </c>
      <c r="X33" s="588" t="n">
        <v>0</v>
      </c>
      <c r="Y33" s="588" t="n">
        <v>0</v>
      </c>
      <c r="Z33" s="588" t="n">
        <v>0</v>
      </c>
      <c r="AA33" s="588" t="n">
        <v>0</v>
      </c>
      <c r="AB33" s="588" t="n">
        <v>0</v>
      </c>
      <c r="AC33" s="588" t="n">
        <v>0</v>
      </c>
      <c r="AD33" s="588" t="n">
        <v>0</v>
      </c>
      <c r="AE33" s="588" t="n"/>
      <c r="AF33" s="592" t="n"/>
      <c r="AH33" s="13" t="inlineStr">
        <is>
          <t>COAL</t>
        </is>
      </c>
      <c r="AI33" s="55">
        <f>SUM($B33:B33)/1</f>
        <v/>
      </c>
      <c r="AJ33" s="55">
        <f>SUM($B33:C33)/2</f>
        <v/>
      </c>
      <c r="AK33" s="55">
        <f>SUM($B33:D33)/3</f>
        <v/>
      </c>
      <c r="AL33" s="55">
        <f>SUM($B33:E33)/4</f>
        <v/>
      </c>
      <c r="AM33" s="55">
        <f>SUM($B33:F33)/5</f>
        <v/>
      </c>
      <c r="AN33" s="55">
        <f>SUM($B33:G33)/6</f>
        <v/>
      </c>
      <c r="AO33" s="55">
        <f>SUM($B33:H33)/7</f>
        <v/>
      </c>
      <c r="AP33" s="55">
        <f>SUM($B33:I33)/8</f>
        <v/>
      </c>
      <c r="AQ33" s="55">
        <f>SUM($B33:J33)/9</f>
        <v/>
      </c>
      <c r="AR33" s="55">
        <f>SUM($B33:K33)/10</f>
        <v/>
      </c>
      <c r="AS33" s="55">
        <f>SUM($B33:L33)/11</f>
        <v/>
      </c>
      <c r="AT33" s="55">
        <f>SUM($B33:M33)/12</f>
        <v/>
      </c>
      <c r="AU33" s="55">
        <f>SUM($B33:N33)/13</f>
        <v/>
      </c>
      <c r="AV33" s="55">
        <f>SUM($B33:O33)/14</f>
        <v/>
      </c>
      <c r="AW33" s="55">
        <f>SUM($B33:P33)/15</f>
        <v/>
      </c>
      <c r="AX33" s="55">
        <f>SUM($B33:Q33)/16</f>
        <v/>
      </c>
      <c r="AY33" s="55">
        <f>SUM($B33:R33)/17</f>
        <v/>
      </c>
      <c r="AZ33" s="55">
        <f>SUM($B33:S33)/18</f>
        <v/>
      </c>
      <c r="BA33" s="55">
        <f>SUM($B33:T33)/19</f>
        <v/>
      </c>
      <c r="BB33" s="55">
        <f>SUM($B33:U33)/20</f>
        <v/>
      </c>
      <c r="BC33" s="55">
        <f>SUM($B33:V33)/21</f>
        <v/>
      </c>
      <c r="BD33" s="55">
        <f>SUM($B33:W33)/22</f>
        <v/>
      </c>
      <c r="BE33" s="55">
        <f>SUM($B33:X33)/23</f>
        <v/>
      </c>
      <c r="BF33" s="55">
        <f>SUM($B33:Y33)/24</f>
        <v/>
      </c>
      <c r="BG33" s="55">
        <f>SUM($B33:Z33)/25</f>
        <v/>
      </c>
      <c r="BH33" s="55">
        <f>SUM($B33:AA33)/26</f>
        <v/>
      </c>
      <c r="BI33" s="55">
        <f>SUM($B33:AB33)/27</f>
        <v/>
      </c>
      <c r="BJ33" s="55">
        <f>SUM($B33:AC33)/28</f>
        <v/>
      </c>
      <c r="BK33" s="55">
        <f>SUM($B33:AD33)/29</f>
        <v/>
      </c>
      <c r="BL33" s="55" t="n"/>
      <c r="BM33" s="55" t="n"/>
      <c r="BO33" s="13" t="inlineStr">
        <is>
          <t>COAL</t>
        </is>
      </c>
      <c r="BP33" s="51">
        <f>(0.0+SUM($B33:B33))/(306+1)</f>
        <v/>
      </c>
      <c r="BQ33" s="51">
        <f>(0.0+SUM($B33:C33))/(306+2)</f>
        <v/>
      </c>
      <c r="BR33" s="51">
        <f>(0.0+SUM($B33:D33))/(306+3)</f>
        <v/>
      </c>
      <c r="BS33" s="51">
        <f>(0.0+SUM($B33:E33))/(306+4)</f>
        <v/>
      </c>
      <c r="BT33" s="51">
        <f>(0.0+SUM($B33:F33))/(306+5)</f>
        <v/>
      </c>
      <c r="BU33" s="51">
        <f>(0.0+SUM($B33:G33))/(306+6)</f>
        <v/>
      </c>
      <c r="BV33" s="51">
        <f>(0.0+SUM($B33:H33))/(306+7)</f>
        <v/>
      </c>
      <c r="BW33" s="51">
        <f>(0.0+SUM($B33:I33))/(306+8)</f>
        <v/>
      </c>
      <c r="BX33" s="51">
        <f>(0.0+SUM($B33:J33))/(306+9)</f>
        <v/>
      </c>
      <c r="BY33" s="51">
        <f>(0.0+SUM($B33:K33))/(306+10)</f>
        <v/>
      </c>
      <c r="BZ33" s="51">
        <f>(0.0+SUM($B33:L33))/(306+11)</f>
        <v/>
      </c>
      <c r="CA33" s="51">
        <f>(0.0+SUM($B33:M33))/(306+12)</f>
        <v/>
      </c>
      <c r="CB33" s="51">
        <f>(0.0+SUM($B33:N33))/(306+13)</f>
        <v/>
      </c>
      <c r="CC33" s="51">
        <f>(0.0+SUM($B33:O33))/(306+14)</f>
        <v/>
      </c>
      <c r="CD33" s="51">
        <f>(0.0+SUM($B33:P33))/(306+15)</f>
        <v/>
      </c>
      <c r="CE33" s="51">
        <f>(0.0+SUM($B33:Q33))/(306+16)</f>
        <v/>
      </c>
      <c r="CF33" s="51">
        <f>(0.0+SUM($B33:R33))/(306+17)</f>
        <v/>
      </c>
      <c r="CG33" s="51">
        <f>(0.0+SUM($B33:S33))/(306+18)</f>
        <v/>
      </c>
      <c r="CH33" s="51">
        <f>(0.0+SUM($B33:T33))/(306+19)</f>
        <v/>
      </c>
      <c r="CI33" s="51">
        <f>(0.0+SUM($B33:U33))/(306+20)</f>
        <v/>
      </c>
      <c r="CJ33" s="51">
        <f>(0.0+SUM($B33:V33))/(306+21)</f>
        <v/>
      </c>
      <c r="CK33" s="51">
        <f>(0.0+SUM($B33:W33))/(306+22)</f>
        <v/>
      </c>
      <c r="CL33" s="51">
        <f>(0.0+SUM($B33:X33))/(306+23)</f>
        <v/>
      </c>
      <c r="CM33" s="51">
        <f>(0.0+SUM($B33:Y33))/(306+24)</f>
        <v/>
      </c>
      <c r="CN33" s="51">
        <f>(0.0+SUM($B33:Z33))/(306+25)</f>
        <v/>
      </c>
      <c r="CO33" s="51">
        <f>(0.0+SUM($B33:AA33))/(306+26)</f>
        <v/>
      </c>
      <c r="CP33" s="51">
        <f>(0.0+SUM($B33:AB33))/(306+27)</f>
        <v/>
      </c>
      <c r="CQ33" s="51">
        <f>(0.0+SUM($B33:AC33))/(306+28)</f>
        <v/>
      </c>
      <c r="CR33" s="51">
        <f>(0.0+SUM($B33:AD33))/(306+29)</f>
        <v/>
      </c>
      <c r="CS33" s="51" t="n"/>
      <c r="CT33" s="50" t="n"/>
      <c r="CU33" s="23" t="n"/>
      <c r="CV33" s="23" t="n"/>
      <c r="CW33" s="23" t="n"/>
      <c r="CY33" s="13" t="inlineStr">
        <is>
          <t>COAL</t>
        </is>
      </c>
      <c r="CZ33" s="51" t="n">
        <v>205.2439024390244</v>
      </c>
      <c r="DA33" s="51" t="n">
        <v>206.8870967741935</v>
      </c>
      <c r="DB33" s="51" t="n">
        <v>207.112</v>
      </c>
      <c r="DC33" s="51" t="n">
        <v>207.3253968253968</v>
      </c>
      <c r="DD33" s="51" t="n">
        <v>207.0472440944882</v>
      </c>
      <c r="DE33" s="51" t="n">
        <v>206.3515625</v>
      </c>
      <c r="DF33" s="51" t="n">
        <v>204.7519379844961</v>
      </c>
      <c r="DG33" s="51" t="n">
        <v>203.5923076923077</v>
      </c>
      <c r="DH33" s="51" t="n">
        <v>202.9389312977099</v>
      </c>
      <c r="DI33" s="51" t="n">
        <v>202.6969696969697</v>
      </c>
      <c r="DJ33" s="51" t="n">
        <v>202.9323308270677</v>
      </c>
      <c r="DK33" s="51" t="n">
        <v>204.0223880597015</v>
      </c>
      <c r="DL33" s="51" t="n">
        <v>204.237037037037</v>
      </c>
      <c r="DM33" s="51" t="n">
        <v>204.875</v>
      </c>
      <c r="DN33" s="51" t="n">
        <v>205.9416058394161</v>
      </c>
      <c r="DO33" s="51" t="n">
        <v>206.1304347826087</v>
      </c>
      <c r="DP33" s="51" t="n">
        <v>206.7482014388489</v>
      </c>
      <c r="DQ33" s="51" t="n">
        <v>206.95</v>
      </c>
      <c r="DR33" s="51" t="n">
        <v>206.7163120567376</v>
      </c>
      <c r="DS33" s="51" t="n">
        <v>206.0704225352113</v>
      </c>
      <c r="DT33" s="51" t="n">
        <v>206.2587412587413</v>
      </c>
      <c r="DU33" s="51" t="n">
        <v>205.6388888888889</v>
      </c>
      <c r="DV33" s="51" t="n">
        <v>206.2413793103448</v>
      </c>
      <c r="DW33" s="51" t="n">
        <v>206.8219178082192</v>
      </c>
      <c r="DX33" s="51" t="n">
        <v>207.4149659863945</v>
      </c>
      <c r="DY33" s="51" t="n">
        <v>207.9864864864865</v>
      </c>
      <c r="DZ33" s="51" t="n">
        <v>207.7651006711409</v>
      </c>
      <c r="EA33" s="51" t="n">
        <v>208.3333333333333</v>
      </c>
      <c r="EB33" s="51" t="n">
        <v>208.0927152317881</v>
      </c>
      <c r="EC33" s="51" t="n">
        <v>207.4934210526316</v>
      </c>
      <c r="ED33" s="50" t="n">
        <v>207.2941176470588</v>
      </c>
    </row>
    <row r="34" ht="16.5" customHeight="1" thickBot="1">
      <c r="A34" s="13" t="inlineStr">
        <is>
          <t>CONT</t>
        </is>
      </c>
      <c r="B34" s="588" t="n">
        <v>0</v>
      </c>
      <c r="C34" s="588" t="n">
        <v>0</v>
      </c>
      <c r="D34" s="588" t="n">
        <v>0</v>
      </c>
      <c r="E34" s="588" t="n">
        <v>0</v>
      </c>
      <c r="F34" s="588" t="n">
        <v>0</v>
      </c>
      <c r="G34" s="588" t="n">
        <v>0</v>
      </c>
      <c r="H34" s="588" t="n">
        <v>0</v>
      </c>
      <c r="I34" s="588" t="n">
        <v>0</v>
      </c>
      <c r="J34" s="588" t="n">
        <v>0</v>
      </c>
      <c r="K34" s="588" t="n">
        <v>0</v>
      </c>
      <c r="L34" s="588" t="n">
        <v>0</v>
      </c>
      <c r="M34" s="588" t="n">
        <v>0</v>
      </c>
      <c r="N34" s="588" t="n">
        <v>0</v>
      </c>
      <c r="O34" s="588" t="n">
        <v>0</v>
      </c>
      <c r="P34" s="588" t="n">
        <v>0</v>
      </c>
      <c r="Q34" s="588" t="n">
        <v>0</v>
      </c>
      <c r="R34" s="588" t="n">
        <v>0</v>
      </c>
      <c r="S34" s="588" t="n">
        <v>0</v>
      </c>
      <c r="T34" s="588" t="n">
        <v>0</v>
      </c>
      <c r="U34" s="588" t="n">
        <v>0</v>
      </c>
      <c r="V34" s="588" t="n">
        <v>0</v>
      </c>
      <c r="W34" s="588" t="n">
        <v>0</v>
      </c>
      <c r="X34" s="588" t="n">
        <v>0</v>
      </c>
      <c r="Y34" s="588" t="n">
        <v>0</v>
      </c>
      <c r="Z34" s="588" t="n">
        <v>0</v>
      </c>
      <c r="AA34" s="588" t="n">
        <v>0</v>
      </c>
      <c r="AB34" s="588" t="n">
        <v>0</v>
      </c>
      <c r="AC34" s="588" t="n">
        <v>0</v>
      </c>
      <c r="AD34" s="588" t="n">
        <v>0</v>
      </c>
      <c r="AE34" s="588" t="n"/>
      <c r="AF34" s="592" t="n"/>
      <c r="AH34" s="13" t="inlineStr">
        <is>
          <t>CONT</t>
        </is>
      </c>
      <c r="AI34" s="55">
        <f>SUM($B34:B34)/1</f>
        <v/>
      </c>
      <c r="AJ34" s="55">
        <f>SUM($B34:C34)/2</f>
        <v/>
      </c>
      <c r="AK34" s="55">
        <f>SUM($B34:D34)/3</f>
        <v/>
      </c>
      <c r="AL34" s="55">
        <f>SUM($B34:E34)/4</f>
        <v/>
      </c>
      <c r="AM34" s="55">
        <f>SUM($B34:F34)/5</f>
        <v/>
      </c>
      <c r="AN34" s="55">
        <f>SUM($B34:G34)/6</f>
        <v/>
      </c>
      <c r="AO34" s="55">
        <f>SUM($B34:H34)/7</f>
        <v/>
      </c>
      <c r="AP34" s="55">
        <f>SUM($B34:I34)/8</f>
        <v/>
      </c>
      <c r="AQ34" s="55">
        <f>SUM($B34:J34)/9</f>
        <v/>
      </c>
      <c r="AR34" s="55">
        <f>SUM($B34:K34)/10</f>
        <v/>
      </c>
      <c r="AS34" s="55">
        <f>SUM($B34:L34)/11</f>
        <v/>
      </c>
      <c r="AT34" s="55">
        <f>SUM($B34:M34)/12</f>
        <v/>
      </c>
      <c r="AU34" s="55">
        <f>SUM($B34:N34)/13</f>
        <v/>
      </c>
      <c r="AV34" s="55">
        <f>SUM($B34:O34)/14</f>
        <v/>
      </c>
      <c r="AW34" s="55">
        <f>SUM($B34:P34)/15</f>
        <v/>
      </c>
      <c r="AX34" s="55">
        <f>SUM($B34:Q34)/16</f>
        <v/>
      </c>
      <c r="AY34" s="55">
        <f>SUM($B34:R34)/17</f>
        <v/>
      </c>
      <c r="AZ34" s="55">
        <f>SUM($B34:S34)/18</f>
        <v/>
      </c>
      <c r="BA34" s="55">
        <f>SUM($B34:T34)/19</f>
        <v/>
      </c>
      <c r="BB34" s="55">
        <f>SUM($B34:U34)/20</f>
        <v/>
      </c>
      <c r="BC34" s="55">
        <f>SUM($B34:V34)/21</f>
        <v/>
      </c>
      <c r="BD34" s="55">
        <f>SUM($B34:W34)/22</f>
        <v/>
      </c>
      <c r="BE34" s="55">
        <f>SUM($B34:X34)/23</f>
        <v/>
      </c>
      <c r="BF34" s="55">
        <f>SUM($B34:Y34)/24</f>
        <v/>
      </c>
      <c r="BG34" s="55">
        <f>SUM($B34:Z34)/25</f>
        <v/>
      </c>
      <c r="BH34" s="55">
        <f>SUM($B34:AA34)/26</f>
        <v/>
      </c>
      <c r="BI34" s="55">
        <f>SUM($B34:AB34)/27</f>
        <v/>
      </c>
      <c r="BJ34" s="55">
        <f>SUM($B34:AC34)/28</f>
        <v/>
      </c>
      <c r="BK34" s="55">
        <f>SUM($B34:AD34)/29</f>
        <v/>
      </c>
      <c r="BL34" s="55" t="n"/>
      <c r="BM34" s="55" t="n"/>
      <c r="BO34" s="13" t="inlineStr">
        <is>
          <t>CONT</t>
        </is>
      </c>
      <c r="BP34" s="51">
        <f>(0.0+SUM($B34:B34))/(306+1)</f>
        <v/>
      </c>
      <c r="BQ34" s="51">
        <f>(0.0+SUM($B34:C34))/(306+2)</f>
        <v/>
      </c>
      <c r="BR34" s="51">
        <f>(0.0+SUM($B34:D34))/(306+3)</f>
        <v/>
      </c>
      <c r="BS34" s="51">
        <f>(0.0+SUM($B34:E34))/(306+4)</f>
        <v/>
      </c>
      <c r="BT34" s="51">
        <f>(0.0+SUM($B34:F34))/(306+5)</f>
        <v/>
      </c>
      <c r="BU34" s="51">
        <f>(0.0+SUM($B34:G34))/(306+6)</f>
        <v/>
      </c>
      <c r="BV34" s="51">
        <f>(0.0+SUM($B34:H34))/(306+7)</f>
        <v/>
      </c>
      <c r="BW34" s="51">
        <f>(0.0+SUM($B34:I34))/(306+8)</f>
        <v/>
      </c>
      <c r="BX34" s="51">
        <f>(0.0+SUM($B34:J34))/(306+9)</f>
        <v/>
      </c>
      <c r="BY34" s="51">
        <f>(0.0+SUM($B34:K34))/(306+10)</f>
        <v/>
      </c>
      <c r="BZ34" s="51">
        <f>(0.0+SUM($B34:L34))/(306+11)</f>
        <v/>
      </c>
      <c r="CA34" s="51">
        <f>(0.0+SUM($B34:M34))/(306+12)</f>
        <v/>
      </c>
      <c r="CB34" s="51">
        <f>(0.0+SUM($B34:N34))/(306+13)</f>
        <v/>
      </c>
      <c r="CC34" s="51">
        <f>(0.0+SUM($B34:O34))/(306+14)</f>
        <v/>
      </c>
      <c r="CD34" s="51">
        <f>(0.0+SUM($B34:P34))/(306+15)</f>
        <v/>
      </c>
      <c r="CE34" s="51">
        <f>(0.0+SUM($B34:Q34))/(306+16)</f>
        <v/>
      </c>
      <c r="CF34" s="51">
        <f>(0.0+SUM($B34:R34))/(306+17)</f>
        <v/>
      </c>
      <c r="CG34" s="51">
        <f>(0.0+SUM($B34:S34))/(306+18)</f>
        <v/>
      </c>
      <c r="CH34" s="51">
        <f>(0.0+SUM($B34:T34))/(306+19)</f>
        <v/>
      </c>
      <c r="CI34" s="51">
        <f>(0.0+SUM($B34:U34))/(306+20)</f>
        <v/>
      </c>
      <c r="CJ34" s="51">
        <f>(0.0+SUM($B34:V34))/(306+21)</f>
        <v/>
      </c>
      <c r="CK34" s="51">
        <f>(0.0+SUM($B34:W34))/(306+22)</f>
        <v/>
      </c>
      <c r="CL34" s="51">
        <f>(0.0+SUM($B34:X34))/(306+23)</f>
        <v/>
      </c>
      <c r="CM34" s="51">
        <f>(0.0+SUM($B34:Y34))/(306+24)</f>
        <v/>
      </c>
      <c r="CN34" s="51">
        <f>(0.0+SUM($B34:Z34))/(306+25)</f>
        <v/>
      </c>
      <c r="CO34" s="51">
        <f>(0.0+SUM($B34:AA34))/(306+26)</f>
        <v/>
      </c>
      <c r="CP34" s="51">
        <f>(0.0+SUM($B34:AB34))/(306+27)</f>
        <v/>
      </c>
      <c r="CQ34" s="51">
        <f>(0.0+SUM($B34:AC34))/(306+28)</f>
        <v/>
      </c>
      <c r="CR34" s="51">
        <f>(0.0+SUM($B34:AD34))/(306+29)</f>
        <v/>
      </c>
      <c r="CS34" s="51" t="n"/>
      <c r="CT34" s="50" t="n"/>
      <c r="CU34" s="23" t="n"/>
      <c r="CV34" s="23" t="n"/>
      <c r="CW34" s="23" t="n"/>
      <c r="CY34" s="13" t="inlineStr">
        <is>
          <t>CONT</t>
        </is>
      </c>
      <c r="CZ34" s="51" t="n">
        <v>2560.414634146342</v>
      </c>
      <c r="DA34" s="51" t="n">
        <v>2559.75</v>
      </c>
      <c r="DB34" s="51" t="n">
        <v>2559.616</v>
      </c>
      <c r="DC34" s="51" t="n">
        <v>2560.515873015873</v>
      </c>
      <c r="DD34" s="51" t="n">
        <v>2562.417322834646</v>
      </c>
      <c r="DE34" s="51" t="n">
        <v>2563.65625</v>
      </c>
      <c r="DF34" s="51" t="n">
        <v>2565.527131782946</v>
      </c>
      <c r="DG34" s="51" t="n">
        <v>2562.230769230769</v>
      </c>
      <c r="DH34" s="51" t="n">
        <v>2563.099236641222</v>
      </c>
      <c r="DI34" s="51" t="n">
        <v>2560.772727272727</v>
      </c>
      <c r="DJ34" s="51" t="n">
        <v>2562.263157894737</v>
      </c>
      <c r="DK34" s="51" t="n">
        <v>2557.932835820895</v>
      </c>
      <c r="DL34" s="51" t="n">
        <v>2556.592592592593</v>
      </c>
      <c r="DM34" s="51" t="n">
        <v>2555.132352941177</v>
      </c>
      <c r="DN34" s="51" t="n">
        <v>2555.481751824817</v>
      </c>
      <c r="DO34" s="51" t="n">
        <v>2556.891304347826</v>
      </c>
      <c r="DP34" s="51" t="n">
        <v>2555.194244604317</v>
      </c>
      <c r="DQ34" s="51" t="n">
        <v>2554.285714285714</v>
      </c>
      <c r="DR34" s="51" t="n">
        <v>2553.326241134752</v>
      </c>
      <c r="DS34" s="51" t="n">
        <v>2551.161971830986</v>
      </c>
      <c r="DT34" s="51" t="n">
        <v>2550.342657342657</v>
      </c>
      <c r="DU34" s="51" t="n">
        <v>2550.847222222222</v>
      </c>
      <c r="DV34" s="51" t="n">
        <v>2551.634482758621</v>
      </c>
      <c r="DW34" s="51" t="n">
        <v>2552.965753424658</v>
      </c>
      <c r="DX34" s="51" t="n">
        <v>2556.102040816327</v>
      </c>
      <c r="DY34" s="51" t="n">
        <v>2557.47972972973</v>
      </c>
      <c r="DZ34" s="51" t="n">
        <v>2557.389261744966</v>
      </c>
      <c r="EA34" s="51" t="n">
        <v>2556.533333333333</v>
      </c>
      <c r="EB34" s="51" t="n">
        <v>2554.516556291391</v>
      </c>
      <c r="EC34" s="51" t="n">
        <v>2555.092105263158</v>
      </c>
      <c r="ED34" s="50" t="n">
        <v>2555.869281045751</v>
      </c>
    </row>
    <row r="35" ht="16.5" customHeight="1" thickBot="1">
      <c r="A35" s="13" t="inlineStr">
        <is>
          <t>FERT</t>
        </is>
      </c>
      <c r="B35" s="588" t="n">
        <v>0</v>
      </c>
      <c r="C35" s="588" t="n">
        <v>0</v>
      </c>
      <c r="D35" s="588" t="n">
        <v>0</v>
      </c>
      <c r="E35" s="588" t="n">
        <v>0</v>
      </c>
      <c r="F35" s="588" t="n">
        <v>0</v>
      </c>
      <c r="G35" s="588" t="n">
        <v>0</v>
      </c>
      <c r="H35" s="588" t="n">
        <v>0</v>
      </c>
      <c r="I35" s="588" t="n">
        <v>0</v>
      </c>
      <c r="J35" s="588" t="n">
        <v>0</v>
      </c>
      <c r="K35" s="588" t="n">
        <v>0</v>
      </c>
      <c r="L35" s="588" t="n">
        <v>0</v>
      </c>
      <c r="M35" s="588" t="n">
        <v>0</v>
      </c>
      <c r="N35" s="588" t="n">
        <v>0</v>
      </c>
      <c r="O35" s="588" t="n">
        <v>0</v>
      </c>
      <c r="P35" s="588" t="n">
        <v>0</v>
      </c>
      <c r="Q35" s="588" t="n">
        <v>0</v>
      </c>
      <c r="R35" s="588" t="n">
        <v>0</v>
      </c>
      <c r="S35" s="588" t="n">
        <v>0</v>
      </c>
      <c r="T35" s="588" t="n">
        <v>0</v>
      </c>
      <c r="U35" s="588" t="n">
        <v>0</v>
      </c>
      <c r="V35" s="588" t="n">
        <v>0</v>
      </c>
      <c r="W35" s="588" t="n">
        <v>0</v>
      </c>
      <c r="X35" s="588" t="n">
        <v>0</v>
      </c>
      <c r="Y35" s="588" t="n">
        <v>0</v>
      </c>
      <c r="Z35" s="588" t="n">
        <v>0</v>
      </c>
      <c r="AA35" s="588" t="n">
        <v>0</v>
      </c>
      <c r="AB35" s="588" t="n">
        <v>0</v>
      </c>
      <c r="AC35" s="588" t="n">
        <v>0</v>
      </c>
      <c r="AD35" s="588" t="n">
        <v>0</v>
      </c>
      <c r="AE35" s="588" t="n"/>
      <c r="AF35" s="592" t="n"/>
      <c r="AH35" s="13" t="inlineStr">
        <is>
          <t>FERT</t>
        </is>
      </c>
      <c r="AI35" s="55">
        <f>SUM($B35:B35)/1</f>
        <v/>
      </c>
      <c r="AJ35" s="55">
        <f>SUM($B35:C35)/2</f>
        <v/>
      </c>
      <c r="AK35" s="55">
        <f>SUM($B35:D35)/3</f>
        <v/>
      </c>
      <c r="AL35" s="55">
        <f>SUM($B35:E35)/4</f>
        <v/>
      </c>
      <c r="AM35" s="55">
        <f>SUM($B35:F35)/5</f>
        <v/>
      </c>
      <c r="AN35" s="55">
        <f>SUM($B35:G35)/6</f>
        <v/>
      </c>
      <c r="AO35" s="55">
        <f>SUM($B35:H35)/7</f>
        <v/>
      </c>
      <c r="AP35" s="55">
        <f>SUM($B35:I35)/8</f>
        <v/>
      </c>
      <c r="AQ35" s="55">
        <f>SUM($B35:J35)/9</f>
        <v/>
      </c>
      <c r="AR35" s="55">
        <f>SUM($B35:K35)/10</f>
        <v/>
      </c>
      <c r="AS35" s="55">
        <f>SUM($B35:L35)/11</f>
        <v/>
      </c>
      <c r="AT35" s="55">
        <f>SUM($B35:M35)/12</f>
        <v/>
      </c>
      <c r="AU35" s="55">
        <f>SUM($B35:N35)/13</f>
        <v/>
      </c>
      <c r="AV35" s="55">
        <f>SUM($B35:O35)/14</f>
        <v/>
      </c>
      <c r="AW35" s="55">
        <f>SUM($B35:P35)/15</f>
        <v/>
      </c>
      <c r="AX35" s="55">
        <f>SUM($B35:Q35)/16</f>
        <v/>
      </c>
      <c r="AY35" s="55">
        <f>SUM($B35:R35)/17</f>
        <v/>
      </c>
      <c r="AZ35" s="55">
        <f>SUM($B35:S35)/18</f>
        <v/>
      </c>
      <c r="BA35" s="55">
        <f>SUM($B35:T35)/19</f>
        <v/>
      </c>
      <c r="BB35" s="55">
        <f>SUM($B35:U35)/20</f>
        <v/>
      </c>
      <c r="BC35" s="55">
        <f>SUM($B35:V35)/21</f>
        <v/>
      </c>
      <c r="BD35" s="55">
        <f>SUM($B35:W35)/22</f>
        <v/>
      </c>
      <c r="BE35" s="55">
        <f>SUM($B35:X35)/23</f>
        <v/>
      </c>
      <c r="BF35" s="55">
        <f>SUM($B35:Y35)/24</f>
        <v/>
      </c>
      <c r="BG35" s="55">
        <f>SUM($B35:Z35)/25</f>
        <v/>
      </c>
      <c r="BH35" s="55">
        <f>SUM($B35:AA35)/26</f>
        <v/>
      </c>
      <c r="BI35" s="55">
        <f>SUM($B35:AB35)/27</f>
        <v/>
      </c>
      <c r="BJ35" s="55">
        <f>SUM($B35:AC35)/28</f>
        <v/>
      </c>
      <c r="BK35" s="55">
        <f>SUM($B35:AD35)/29</f>
        <v/>
      </c>
      <c r="BL35" s="55" t="n"/>
      <c r="BM35" s="55" t="n"/>
      <c r="BO35" s="13" t="inlineStr">
        <is>
          <t>FERT</t>
        </is>
      </c>
      <c r="BP35" s="51">
        <f>(0.0+SUM($B35:B35))/(306+1)</f>
        <v/>
      </c>
      <c r="BQ35" s="51">
        <f>(0.0+SUM($B35:C35))/(306+2)</f>
        <v/>
      </c>
      <c r="BR35" s="51">
        <f>(0.0+SUM($B35:D35))/(306+3)</f>
        <v/>
      </c>
      <c r="BS35" s="51">
        <f>(0.0+SUM($B35:E35))/(306+4)</f>
        <v/>
      </c>
      <c r="BT35" s="51">
        <f>(0.0+SUM($B35:F35))/(306+5)</f>
        <v/>
      </c>
      <c r="BU35" s="51">
        <f>(0.0+SUM($B35:G35))/(306+6)</f>
        <v/>
      </c>
      <c r="BV35" s="51">
        <f>(0.0+SUM($B35:H35))/(306+7)</f>
        <v/>
      </c>
      <c r="BW35" s="51">
        <f>(0.0+SUM($B35:I35))/(306+8)</f>
        <v/>
      </c>
      <c r="BX35" s="51">
        <f>(0.0+SUM($B35:J35))/(306+9)</f>
        <v/>
      </c>
      <c r="BY35" s="51">
        <f>(0.0+SUM($B35:K35))/(306+10)</f>
        <v/>
      </c>
      <c r="BZ35" s="51">
        <f>(0.0+SUM($B35:L35))/(306+11)</f>
        <v/>
      </c>
      <c r="CA35" s="51">
        <f>(0.0+SUM($B35:M35))/(306+12)</f>
        <v/>
      </c>
      <c r="CB35" s="51">
        <f>(0.0+SUM($B35:N35))/(306+13)</f>
        <v/>
      </c>
      <c r="CC35" s="51">
        <f>(0.0+SUM($B35:O35))/(306+14)</f>
        <v/>
      </c>
      <c r="CD35" s="51">
        <f>(0.0+SUM($B35:P35))/(306+15)</f>
        <v/>
      </c>
      <c r="CE35" s="51">
        <f>(0.0+SUM($B35:Q35))/(306+16)</f>
        <v/>
      </c>
      <c r="CF35" s="51">
        <f>(0.0+SUM($B35:R35))/(306+17)</f>
        <v/>
      </c>
      <c r="CG35" s="51">
        <f>(0.0+SUM($B35:S35))/(306+18)</f>
        <v/>
      </c>
      <c r="CH35" s="51">
        <f>(0.0+SUM($B35:T35))/(306+19)</f>
        <v/>
      </c>
      <c r="CI35" s="51">
        <f>(0.0+SUM($B35:U35))/(306+20)</f>
        <v/>
      </c>
      <c r="CJ35" s="51">
        <f>(0.0+SUM($B35:V35))/(306+21)</f>
        <v/>
      </c>
      <c r="CK35" s="51">
        <f>(0.0+SUM($B35:W35))/(306+22)</f>
        <v/>
      </c>
      <c r="CL35" s="51">
        <f>(0.0+SUM($B35:X35))/(306+23)</f>
        <v/>
      </c>
      <c r="CM35" s="51">
        <f>(0.0+SUM($B35:Y35))/(306+24)</f>
        <v/>
      </c>
      <c r="CN35" s="51">
        <f>(0.0+SUM($B35:Z35))/(306+25)</f>
        <v/>
      </c>
      <c r="CO35" s="51">
        <f>(0.0+SUM($B35:AA35))/(306+26)</f>
        <v/>
      </c>
      <c r="CP35" s="51">
        <f>(0.0+SUM($B35:AB35))/(306+27)</f>
        <v/>
      </c>
      <c r="CQ35" s="51">
        <f>(0.0+SUM($B35:AC35))/(306+28)</f>
        <v/>
      </c>
      <c r="CR35" s="51">
        <f>(0.0+SUM($B35:AD35))/(306+29)</f>
        <v/>
      </c>
      <c r="CS35" s="51" t="n"/>
      <c r="CT35" s="50" t="n"/>
      <c r="CU35" s="23" t="n"/>
      <c r="CV35" s="23" t="n"/>
      <c r="CW35" s="23" t="n"/>
      <c r="CY35" s="13" t="inlineStr">
        <is>
          <t>FERT</t>
        </is>
      </c>
      <c r="CZ35" s="51" t="n">
        <v>310.7560975609756</v>
      </c>
      <c r="DA35" s="51" t="n">
        <v>311.0806451612903</v>
      </c>
      <c r="DB35" s="51" t="n">
        <v>311.168</v>
      </c>
      <c r="DC35" s="51" t="n">
        <v>311.8333333333333</v>
      </c>
      <c r="DD35" s="51" t="n">
        <v>311.9685039370079</v>
      </c>
      <c r="DE35" s="51" t="n">
        <v>312.078125</v>
      </c>
      <c r="DF35" s="51" t="n">
        <v>312.5891472868217</v>
      </c>
      <c r="DG35" s="51" t="n">
        <v>312.4461538461538</v>
      </c>
      <c r="DH35" s="51" t="n">
        <v>312.9541984732824</v>
      </c>
      <c r="DI35" s="51" t="n">
        <v>312.969696969697</v>
      </c>
      <c r="DJ35" s="51" t="n">
        <v>313.2857142857143</v>
      </c>
      <c r="DK35" s="51" t="n">
        <v>313.4179104477612</v>
      </c>
      <c r="DL35" s="51" t="n">
        <v>313.5851851851852</v>
      </c>
      <c r="DM35" s="51" t="n">
        <v>314.0220588235294</v>
      </c>
      <c r="DN35" s="51" t="n">
        <v>315.0729927007299</v>
      </c>
      <c r="DO35" s="51" t="n">
        <v>315.3405797101449</v>
      </c>
      <c r="DP35" s="51" t="n">
        <v>316.0431654676259</v>
      </c>
      <c r="DQ35" s="51" t="n">
        <v>317.1285714285714</v>
      </c>
      <c r="DR35" s="51" t="n">
        <v>319.2695035460993</v>
      </c>
      <c r="DS35" s="51" t="n">
        <v>319.5070422535211</v>
      </c>
      <c r="DT35" s="51" t="n">
        <v>320.2797202797203</v>
      </c>
      <c r="DU35" s="51" t="n">
        <v>320.9375</v>
      </c>
      <c r="DV35" s="51" t="n">
        <v>321.3241379310345</v>
      </c>
      <c r="DW35" s="51" t="n">
        <v>321.2876712328767</v>
      </c>
      <c r="DX35" s="51" t="n">
        <v>321.7482993197279</v>
      </c>
      <c r="DY35" s="51" t="n">
        <v>321.2094594594595</v>
      </c>
      <c r="DZ35" s="51" t="n">
        <v>321.8322147651007</v>
      </c>
      <c r="EA35" s="51" t="n">
        <v>323.0866666666666</v>
      </c>
      <c r="EB35" s="51" t="n">
        <v>323.4172185430464</v>
      </c>
      <c r="EC35" s="51" t="n">
        <v>324.0921052631579</v>
      </c>
      <c r="ED35" s="50" t="n">
        <v>323.7254901960785</v>
      </c>
    </row>
    <row r="36" ht="16.5" customHeight="1" thickBot="1">
      <c r="A36" s="13" t="inlineStr">
        <is>
          <t>IMFT</t>
        </is>
      </c>
      <c r="B36" s="588" t="n">
        <v>0</v>
      </c>
      <c r="C36" s="588" t="n">
        <v>0</v>
      </c>
      <c r="D36" s="588" t="n">
        <v>0</v>
      </c>
      <c r="E36" s="588" t="n">
        <v>0</v>
      </c>
      <c r="F36" s="588" t="n">
        <v>0</v>
      </c>
      <c r="G36" s="588" t="n">
        <v>0</v>
      </c>
      <c r="H36" s="588" t="n">
        <v>0</v>
      </c>
      <c r="I36" s="588" t="n">
        <v>0</v>
      </c>
      <c r="J36" s="588" t="n">
        <v>0</v>
      </c>
      <c r="K36" s="588" t="n">
        <v>0</v>
      </c>
      <c r="L36" s="588" t="n">
        <v>0</v>
      </c>
      <c r="M36" s="588" t="n">
        <v>0</v>
      </c>
      <c r="N36" s="588" t="n">
        <v>0</v>
      </c>
      <c r="O36" s="588" t="n">
        <v>0</v>
      </c>
      <c r="P36" s="588" t="n">
        <v>0</v>
      </c>
      <c r="Q36" s="588" t="n">
        <v>0</v>
      </c>
      <c r="R36" s="588" t="n">
        <v>0</v>
      </c>
      <c r="S36" s="588" t="n">
        <v>0</v>
      </c>
      <c r="T36" s="588" t="n">
        <v>0</v>
      </c>
      <c r="U36" s="588" t="n">
        <v>0</v>
      </c>
      <c r="V36" s="588" t="n">
        <v>0</v>
      </c>
      <c r="W36" s="588" t="n">
        <v>0</v>
      </c>
      <c r="X36" s="588" t="n">
        <v>0</v>
      </c>
      <c r="Y36" s="588" t="n">
        <v>0</v>
      </c>
      <c r="Z36" s="588" t="n">
        <v>0</v>
      </c>
      <c r="AA36" s="588" t="n">
        <v>0</v>
      </c>
      <c r="AB36" s="588" t="n">
        <v>0</v>
      </c>
      <c r="AC36" s="588" t="n">
        <v>0</v>
      </c>
      <c r="AD36" s="588" t="n">
        <v>0</v>
      </c>
      <c r="AE36" s="588" t="n"/>
      <c r="AF36" s="592" t="n"/>
      <c r="AH36" s="13" t="inlineStr">
        <is>
          <t>IMFT</t>
        </is>
      </c>
      <c r="AI36" s="55">
        <f>SUM($B36:B36)/1</f>
        <v/>
      </c>
      <c r="AJ36" s="55">
        <f>SUM($B36:C36)/2</f>
        <v/>
      </c>
      <c r="AK36" s="55">
        <f>SUM($B36:D36)/3</f>
        <v/>
      </c>
      <c r="AL36" s="55">
        <f>SUM($B36:E36)/4</f>
        <v/>
      </c>
      <c r="AM36" s="55">
        <f>SUM($B36:F36)/5</f>
        <v/>
      </c>
      <c r="AN36" s="55">
        <f>SUM($B36:G36)/6</f>
        <v/>
      </c>
      <c r="AO36" s="55">
        <f>SUM($B36:H36)/7</f>
        <v/>
      </c>
      <c r="AP36" s="55">
        <f>SUM($B36:I36)/8</f>
        <v/>
      </c>
      <c r="AQ36" s="55">
        <f>SUM($B36:J36)/9</f>
        <v/>
      </c>
      <c r="AR36" s="55">
        <f>SUM($B36:K36)/10</f>
        <v/>
      </c>
      <c r="AS36" s="55">
        <f>SUM($B36:L36)/11</f>
        <v/>
      </c>
      <c r="AT36" s="55">
        <f>SUM($B36:M36)/12</f>
        <v/>
      </c>
      <c r="AU36" s="55">
        <f>SUM($B36:N36)/13</f>
        <v/>
      </c>
      <c r="AV36" s="55">
        <f>SUM($B36:O36)/14</f>
        <v/>
      </c>
      <c r="AW36" s="55">
        <f>SUM($B36:P36)/15</f>
        <v/>
      </c>
      <c r="AX36" s="55">
        <f>SUM($B36:Q36)/16</f>
        <v/>
      </c>
      <c r="AY36" s="55">
        <f>SUM($B36:R36)/17</f>
        <v/>
      </c>
      <c r="AZ36" s="55">
        <f>SUM($B36:S36)/18</f>
        <v/>
      </c>
      <c r="BA36" s="55">
        <f>SUM($B36:T36)/19</f>
        <v/>
      </c>
      <c r="BB36" s="55">
        <f>SUM($B36:U36)/20</f>
        <v/>
      </c>
      <c r="BC36" s="55">
        <f>SUM($B36:V36)/21</f>
        <v/>
      </c>
      <c r="BD36" s="55">
        <f>SUM($B36:W36)/22</f>
        <v/>
      </c>
      <c r="BE36" s="55">
        <f>SUM($B36:X36)/23</f>
        <v/>
      </c>
      <c r="BF36" s="55">
        <f>SUM($B36:Y36)/24</f>
        <v/>
      </c>
      <c r="BG36" s="55">
        <f>SUM($B36:Z36)/25</f>
        <v/>
      </c>
      <c r="BH36" s="55">
        <f>SUM($B36:AA36)/26</f>
        <v/>
      </c>
      <c r="BI36" s="55">
        <f>SUM($B36:AB36)/27</f>
        <v/>
      </c>
      <c r="BJ36" s="55">
        <f>SUM($B36:AC36)/28</f>
        <v/>
      </c>
      <c r="BK36" s="55">
        <f>SUM($B36:AD36)/29</f>
        <v/>
      </c>
      <c r="BL36" s="55" t="n"/>
      <c r="BM36" s="55" t="n"/>
      <c r="BO36" s="13" t="inlineStr">
        <is>
          <t>IMFT</t>
        </is>
      </c>
      <c r="BP36" s="51">
        <f>(0.0+SUM($B36:B36))/(306+1)</f>
        <v/>
      </c>
      <c r="BQ36" s="51">
        <f>(0.0+SUM($B36:C36))/(306+2)</f>
        <v/>
      </c>
      <c r="BR36" s="51">
        <f>(0.0+SUM($B36:D36))/(306+3)</f>
        <v/>
      </c>
      <c r="BS36" s="51">
        <f>(0.0+SUM($B36:E36))/(306+4)</f>
        <v/>
      </c>
      <c r="BT36" s="51">
        <f>(0.0+SUM($B36:F36))/(306+5)</f>
        <v/>
      </c>
      <c r="BU36" s="51">
        <f>(0.0+SUM($B36:G36))/(306+6)</f>
        <v/>
      </c>
      <c r="BV36" s="51">
        <f>(0.0+SUM($B36:H36))/(306+7)</f>
        <v/>
      </c>
      <c r="BW36" s="51">
        <f>(0.0+SUM($B36:I36))/(306+8)</f>
        <v/>
      </c>
      <c r="BX36" s="51">
        <f>(0.0+SUM($B36:J36))/(306+9)</f>
        <v/>
      </c>
      <c r="BY36" s="51">
        <f>(0.0+SUM($B36:K36))/(306+10)</f>
        <v/>
      </c>
      <c r="BZ36" s="51">
        <f>(0.0+SUM($B36:L36))/(306+11)</f>
        <v/>
      </c>
      <c r="CA36" s="51">
        <f>(0.0+SUM($B36:M36))/(306+12)</f>
        <v/>
      </c>
      <c r="CB36" s="51">
        <f>(0.0+SUM($B36:N36))/(306+13)</f>
        <v/>
      </c>
      <c r="CC36" s="51">
        <f>(0.0+SUM($B36:O36))/(306+14)</f>
        <v/>
      </c>
      <c r="CD36" s="51">
        <f>(0.0+SUM($B36:P36))/(306+15)</f>
        <v/>
      </c>
      <c r="CE36" s="51">
        <f>(0.0+SUM($B36:Q36))/(306+16)</f>
        <v/>
      </c>
      <c r="CF36" s="51">
        <f>(0.0+SUM($B36:R36))/(306+17)</f>
        <v/>
      </c>
      <c r="CG36" s="51">
        <f>(0.0+SUM($B36:S36))/(306+18)</f>
        <v/>
      </c>
      <c r="CH36" s="51">
        <f>(0.0+SUM($B36:T36))/(306+19)</f>
        <v/>
      </c>
      <c r="CI36" s="51">
        <f>(0.0+SUM($B36:U36))/(306+20)</f>
        <v/>
      </c>
      <c r="CJ36" s="51">
        <f>(0.0+SUM($B36:V36))/(306+21)</f>
        <v/>
      </c>
      <c r="CK36" s="51">
        <f>(0.0+SUM($B36:W36))/(306+22)</f>
        <v/>
      </c>
      <c r="CL36" s="51">
        <f>(0.0+SUM($B36:X36))/(306+23)</f>
        <v/>
      </c>
      <c r="CM36" s="51">
        <f>(0.0+SUM($B36:Y36))/(306+24)</f>
        <v/>
      </c>
      <c r="CN36" s="51">
        <f>(0.0+SUM($B36:Z36))/(306+25)</f>
        <v/>
      </c>
      <c r="CO36" s="51">
        <f>(0.0+SUM($B36:AA36))/(306+26)</f>
        <v/>
      </c>
      <c r="CP36" s="51">
        <f>(0.0+SUM($B36:AB36))/(306+27)</f>
        <v/>
      </c>
      <c r="CQ36" s="51">
        <f>(0.0+SUM($B36:AC36))/(306+28)</f>
        <v/>
      </c>
      <c r="CR36" s="51">
        <f>(0.0+SUM($B36:AD36))/(306+29)</f>
        <v/>
      </c>
      <c r="CS36" s="51" t="n"/>
      <c r="CT36" s="50" t="n"/>
      <c r="CU36" s="23" t="n"/>
      <c r="CV36" s="23" t="n"/>
      <c r="CW36" s="23" t="n"/>
      <c r="CY36" s="13" t="inlineStr">
        <is>
          <t>IMFT</t>
        </is>
      </c>
      <c r="CZ36" s="51" t="n">
        <v>305.3170731707317</v>
      </c>
      <c r="DA36" s="51" t="n">
        <v>307.0887096774193</v>
      </c>
      <c r="DB36" s="51" t="n">
        <v>309.464</v>
      </c>
      <c r="DC36" s="51" t="n">
        <v>311.968253968254</v>
      </c>
      <c r="DD36" s="51" t="n">
        <v>313.6299212598425</v>
      </c>
      <c r="DE36" s="51" t="n">
        <v>314.75</v>
      </c>
      <c r="DF36" s="51" t="n">
        <v>316.7209302325581</v>
      </c>
      <c r="DG36" s="51" t="n">
        <v>319.1384615384615</v>
      </c>
      <c r="DH36" s="51" t="n">
        <v>321.1145038167939</v>
      </c>
      <c r="DI36" s="51" t="n">
        <v>323.3712121212121</v>
      </c>
      <c r="DJ36" s="51" t="n">
        <v>325.5864661654135</v>
      </c>
      <c r="DK36" s="51" t="n">
        <v>328.3358208955224</v>
      </c>
      <c r="DL36" s="51" t="n">
        <v>330.3037037037037</v>
      </c>
      <c r="DM36" s="51" t="n">
        <v>333.0441176470588</v>
      </c>
      <c r="DN36" s="51" t="n">
        <v>335.2554744525547</v>
      </c>
      <c r="DO36" s="51" t="n">
        <v>337.3043478260869</v>
      </c>
      <c r="DP36" s="51" t="n">
        <v>340.2302158273382</v>
      </c>
      <c r="DQ36" s="51" t="n">
        <v>343.2285714285715</v>
      </c>
      <c r="DR36" s="51" t="n">
        <v>343.8936170212766</v>
      </c>
      <c r="DS36" s="51" t="n">
        <v>345.9647887323944</v>
      </c>
      <c r="DT36" s="51" t="n">
        <v>347.5944055944056</v>
      </c>
      <c r="DU36" s="51" t="n">
        <v>349.9236111111111</v>
      </c>
      <c r="DV36" s="51" t="n">
        <v>352.1724137931034</v>
      </c>
      <c r="DW36" s="51" t="n">
        <v>354.6849315068493</v>
      </c>
      <c r="DX36" s="51" t="n">
        <v>357.7074829931973</v>
      </c>
      <c r="DY36" s="51" t="n">
        <v>359.5472972972973</v>
      </c>
      <c r="DZ36" s="51" t="n">
        <v>362.8389261744966</v>
      </c>
      <c r="EA36" s="51" t="n">
        <v>363.8866666666667</v>
      </c>
      <c r="EB36" s="51" t="n">
        <v>366.6291390728477</v>
      </c>
      <c r="EC36" s="51" t="n">
        <v>368.5065789473684</v>
      </c>
      <c r="ED36" s="50" t="n">
        <v>371.1895424836601</v>
      </c>
    </row>
    <row r="37" ht="16.5" customHeight="1" thickBot="1">
      <c r="A37" s="13" t="inlineStr">
        <is>
          <t>POL</t>
        </is>
      </c>
      <c r="B37" s="588" t="n">
        <v>0</v>
      </c>
      <c r="C37" s="588" t="n">
        <v>0</v>
      </c>
      <c r="D37" s="588" t="n">
        <v>0</v>
      </c>
      <c r="E37" s="588" t="n">
        <v>0</v>
      </c>
      <c r="F37" s="588" t="n">
        <v>0</v>
      </c>
      <c r="G37" s="588" t="n">
        <v>0</v>
      </c>
      <c r="H37" s="588" t="n">
        <v>0</v>
      </c>
      <c r="I37" s="588" t="n">
        <v>0</v>
      </c>
      <c r="J37" s="588" t="n">
        <v>0</v>
      </c>
      <c r="K37" s="588" t="n">
        <v>0</v>
      </c>
      <c r="L37" s="588" t="n">
        <v>0</v>
      </c>
      <c r="M37" s="588" t="n">
        <v>0</v>
      </c>
      <c r="N37" s="588" t="n">
        <v>0</v>
      </c>
      <c r="O37" s="588" t="n">
        <v>0</v>
      </c>
      <c r="P37" s="588" t="n">
        <v>0</v>
      </c>
      <c r="Q37" s="588" t="n">
        <v>0</v>
      </c>
      <c r="R37" s="588" t="n">
        <v>0</v>
      </c>
      <c r="S37" s="588" t="n">
        <v>0</v>
      </c>
      <c r="T37" s="588" t="n">
        <v>0</v>
      </c>
      <c r="U37" s="588" t="n">
        <v>0</v>
      </c>
      <c r="V37" s="588" t="n">
        <v>0</v>
      </c>
      <c r="W37" s="588" t="n">
        <v>0</v>
      </c>
      <c r="X37" s="588" t="n">
        <v>0</v>
      </c>
      <c r="Y37" s="588" t="n">
        <v>0</v>
      </c>
      <c r="Z37" s="588" t="n">
        <v>0</v>
      </c>
      <c r="AA37" s="588" t="n">
        <v>0</v>
      </c>
      <c r="AB37" s="588" t="n">
        <v>0</v>
      </c>
      <c r="AC37" s="588" t="n">
        <v>0</v>
      </c>
      <c r="AD37" s="588" t="n">
        <v>0</v>
      </c>
      <c r="AE37" s="588" t="n"/>
      <c r="AF37" s="592" t="n"/>
      <c r="AH37" s="13" t="inlineStr">
        <is>
          <t>POL</t>
        </is>
      </c>
      <c r="AI37" s="55">
        <f>SUM($B37:B37)/1</f>
        <v/>
      </c>
      <c r="AJ37" s="55">
        <f>SUM($B37:C37)/2</f>
        <v/>
      </c>
      <c r="AK37" s="55">
        <f>SUM($B37:D37)/3</f>
        <v/>
      </c>
      <c r="AL37" s="55">
        <f>SUM($B37:E37)/4</f>
        <v/>
      </c>
      <c r="AM37" s="55">
        <f>SUM($B37:F37)/5</f>
        <v/>
      </c>
      <c r="AN37" s="55">
        <f>SUM($B37:G37)/6</f>
        <v/>
      </c>
      <c r="AO37" s="55">
        <f>SUM($B37:H37)/7</f>
        <v/>
      </c>
      <c r="AP37" s="55">
        <f>SUM($B37:I37)/8</f>
        <v/>
      </c>
      <c r="AQ37" s="55">
        <f>SUM($B37:J37)/9</f>
        <v/>
      </c>
      <c r="AR37" s="55">
        <f>SUM($B37:K37)/10</f>
        <v/>
      </c>
      <c r="AS37" s="55">
        <f>SUM($B37:L37)/11</f>
        <v/>
      </c>
      <c r="AT37" s="55">
        <f>SUM($B37:M37)/12</f>
        <v/>
      </c>
      <c r="AU37" s="55">
        <f>SUM($B37:N37)/13</f>
        <v/>
      </c>
      <c r="AV37" s="55">
        <f>SUM($B37:O37)/14</f>
        <v/>
      </c>
      <c r="AW37" s="55">
        <f>SUM($B37:P37)/15</f>
        <v/>
      </c>
      <c r="AX37" s="55">
        <f>SUM($B37:Q37)/16</f>
        <v/>
      </c>
      <c r="AY37" s="55">
        <f>SUM($B37:R37)/17</f>
        <v/>
      </c>
      <c r="AZ37" s="55">
        <f>SUM($B37:S37)/18</f>
        <v/>
      </c>
      <c r="BA37" s="55">
        <f>SUM($B37:T37)/19</f>
        <v/>
      </c>
      <c r="BB37" s="55">
        <f>SUM($B37:U37)/20</f>
        <v/>
      </c>
      <c r="BC37" s="55">
        <f>SUM($B37:V37)/21</f>
        <v/>
      </c>
      <c r="BD37" s="55">
        <f>SUM($B37:W37)/22</f>
        <v/>
      </c>
      <c r="BE37" s="55">
        <f>SUM($B37:X37)/23</f>
        <v/>
      </c>
      <c r="BF37" s="55">
        <f>SUM($B37:Y37)/24</f>
        <v/>
      </c>
      <c r="BG37" s="55">
        <f>SUM($B37:Z37)/25</f>
        <v/>
      </c>
      <c r="BH37" s="55">
        <f>SUM($B37:AA37)/26</f>
        <v/>
      </c>
      <c r="BI37" s="55">
        <f>SUM($B37:AB37)/27</f>
        <v/>
      </c>
      <c r="BJ37" s="55">
        <f>SUM($B37:AC37)/28</f>
        <v/>
      </c>
      <c r="BK37" s="55">
        <f>SUM($B37:AD37)/29</f>
        <v/>
      </c>
      <c r="BL37" s="55" t="n"/>
      <c r="BM37" s="55" t="n"/>
      <c r="BO37" s="13" t="inlineStr">
        <is>
          <t>POL</t>
        </is>
      </c>
      <c r="BP37" s="51">
        <f>(0.0+SUM($B37:B37))/(306+1)</f>
        <v/>
      </c>
      <c r="BQ37" s="51">
        <f>(0.0+SUM($B37:C37))/(306+2)</f>
        <v/>
      </c>
      <c r="BR37" s="51">
        <f>(0.0+SUM($B37:D37))/(306+3)</f>
        <v/>
      </c>
      <c r="BS37" s="51">
        <f>(0.0+SUM($B37:E37))/(306+4)</f>
        <v/>
      </c>
      <c r="BT37" s="51">
        <f>(0.0+SUM($B37:F37))/(306+5)</f>
        <v/>
      </c>
      <c r="BU37" s="51">
        <f>(0.0+SUM($B37:G37))/(306+6)</f>
        <v/>
      </c>
      <c r="BV37" s="51">
        <f>(0.0+SUM($B37:H37))/(306+7)</f>
        <v/>
      </c>
      <c r="BW37" s="51">
        <f>(0.0+SUM($B37:I37))/(306+8)</f>
        <v/>
      </c>
      <c r="BX37" s="51">
        <f>(0.0+SUM($B37:J37))/(306+9)</f>
        <v/>
      </c>
      <c r="BY37" s="51">
        <f>(0.0+SUM($B37:K37))/(306+10)</f>
        <v/>
      </c>
      <c r="BZ37" s="51">
        <f>(0.0+SUM($B37:L37))/(306+11)</f>
        <v/>
      </c>
      <c r="CA37" s="51">
        <f>(0.0+SUM($B37:M37))/(306+12)</f>
        <v/>
      </c>
      <c r="CB37" s="51">
        <f>(0.0+SUM($B37:N37))/(306+13)</f>
        <v/>
      </c>
      <c r="CC37" s="51">
        <f>(0.0+SUM($B37:O37))/(306+14)</f>
        <v/>
      </c>
      <c r="CD37" s="51">
        <f>(0.0+SUM($B37:P37))/(306+15)</f>
        <v/>
      </c>
      <c r="CE37" s="51">
        <f>(0.0+SUM($B37:Q37))/(306+16)</f>
        <v/>
      </c>
      <c r="CF37" s="51">
        <f>(0.0+SUM($B37:R37))/(306+17)</f>
        <v/>
      </c>
      <c r="CG37" s="51">
        <f>(0.0+SUM($B37:S37))/(306+18)</f>
        <v/>
      </c>
      <c r="CH37" s="51">
        <f>(0.0+SUM($B37:T37))/(306+19)</f>
        <v/>
      </c>
      <c r="CI37" s="51">
        <f>(0.0+SUM($B37:U37))/(306+20)</f>
        <v/>
      </c>
      <c r="CJ37" s="51">
        <f>(0.0+SUM($B37:V37))/(306+21)</f>
        <v/>
      </c>
      <c r="CK37" s="51">
        <f>(0.0+SUM($B37:W37))/(306+22)</f>
        <v/>
      </c>
      <c r="CL37" s="51">
        <f>(0.0+SUM($B37:X37))/(306+23)</f>
        <v/>
      </c>
      <c r="CM37" s="51">
        <f>(0.0+SUM($B37:Y37))/(306+24)</f>
        <v/>
      </c>
      <c r="CN37" s="51">
        <f>(0.0+SUM($B37:Z37))/(306+25)</f>
        <v/>
      </c>
      <c r="CO37" s="51">
        <f>(0.0+SUM($B37:AA37))/(306+26)</f>
        <v/>
      </c>
      <c r="CP37" s="51">
        <f>(0.0+SUM($B37:AB37))/(306+27)</f>
        <v/>
      </c>
      <c r="CQ37" s="51">
        <f>(0.0+SUM($B37:AC37))/(306+28)</f>
        <v/>
      </c>
      <c r="CR37" s="51">
        <f>(0.0+SUM($B37:AD37))/(306+29)</f>
        <v/>
      </c>
      <c r="CS37" s="51" t="n"/>
      <c r="CT37" s="50" t="n"/>
      <c r="CU37" s="23" t="n"/>
      <c r="CV37" s="23" t="n"/>
      <c r="CW37" s="23" t="n"/>
      <c r="CY37" s="13" t="inlineStr">
        <is>
          <t>POL</t>
        </is>
      </c>
      <c r="CZ37" s="51" t="n">
        <v>642.0081300813008</v>
      </c>
      <c r="DA37" s="51" t="n">
        <v>641.4758064516129</v>
      </c>
      <c r="DB37" s="51" t="n">
        <v>640.176</v>
      </c>
      <c r="DC37" s="51" t="n">
        <v>642.1190476190476</v>
      </c>
      <c r="DD37" s="51" t="n">
        <v>641.4645669291339</v>
      </c>
      <c r="DE37" s="51" t="n">
        <v>641.828125</v>
      </c>
      <c r="DF37" s="51" t="n">
        <v>641.6821705426356</v>
      </c>
      <c r="DG37" s="51" t="n">
        <v>641.4230769230769</v>
      </c>
      <c r="DH37" s="51" t="n">
        <v>642.412213740458</v>
      </c>
      <c r="DI37" s="51" t="n">
        <v>642.3712121212121</v>
      </c>
      <c r="DJ37" s="51" t="n">
        <v>642.0300751879699</v>
      </c>
      <c r="DK37" s="51" t="n">
        <v>642.5746268656717</v>
      </c>
      <c r="DL37" s="51" t="n">
        <v>642.0222222222222</v>
      </c>
      <c r="DM37" s="51" t="n">
        <v>642.0294117647059</v>
      </c>
      <c r="DN37" s="51" t="n">
        <v>641.07299270073</v>
      </c>
      <c r="DO37" s="51" t="n">
        <v>640.3188405797101</v>
      </c>
      <c r="DP37" s="51" t="n">
        <v>638.8489208633093</v>
      </c>
      <c r="DQ37" s="51" t="n">
        <v>637.7142857142857</v>
      </c>
      <c r="DR37" s="51" t="n">
        <v>638.418439716312</v>
      </c>
      <c r="DS37" s="51" t="n">
        <v>637.8802816901408</v>
      </c>
      <c r="DT37" s="51" t="n">
        <v>636.8111888111888</v>
      </c>
      <c r="DU37" s="51" t="n">
        <v>635.5416666666666</v>
      </c>
      <c r="DV37" s="51" t="n">
        <v>635.2206896551725</v>
      </c>
      <c r="DW37" s="51" t="n">
        <v>634.8219178082192</v>
      </c>
      <c r="DX37" s="51" t="n">
        <v>635.0408163265306</v>
      </c>
      <c r="DY37" s="51" t="n">
        <v>633.9864864864865</v>
      </c>
      <c r="DZ37" s="51" t="n">
        <v>633.489932885906</v>
      </c>
      <c r="EA37" s="51" t="n">
        <v>633.1466666666666</v>
      </c>
      <c r="EB37" s="51" t="n">
        <v>633.0264900662252</v>
      </c>
      <c r="EC37" s="51" t="n">
        <v>633.1842105263158</v>
      </c>
      <c r="ED37" s="50" t="n">
        <v>632.7647058823529</v>
      </c>
    </row>
    <row r="38" ht="16.5" customHeight="1" thickBot="1">
      <c r="A38" s="13" t="inlineStr">
        <is>
          <t>SALT</t>
        </is>
      </c>
      <c r="B38" s="588" t="n">
        <v>0</v>
      </c>
      <c r="C38" s="588" t="n">
        <v>0</v>
      </c>
      <c r="D38" s="588" t="n">
        <v>0</v>
      </c>
      <c r="E38" s="588" t="n">
        <v>0</v>
      </c>
      <c r="F38" s="588" t="n">
        <v>0</v>
      </c>
      <c r="G38" s="588" t="n">
        <v>0</v>
      </c>
      <c r="H38" s="588" t="n">
        <v>0</v>
      </c>
      <c r="I38" s="588" t="n">
        <v>0</v>
      </c>
      <c r="J38" s="588" t="n">
        <v>0</v>
      </c>
      <c r="K38" s="588" t="n">
        <v>0</v>
      </c>
      <c r="L38" s="588" t="n">
        <v>0</v>
      </c>
      <c r="M38" s="588" t="n">
        <v>0</v>
      </c>
      <c r="N38" s="588" t="n">
        <v>0</v>
      </c>
      <c r="O38" s="588" t="n">
        <v>0</v>
      </c>
      <c r="P38" s="588" t="n">
        <v>0</v>
      </c>
      <c r="Q38" s="588" t="n">
        <v>0</v>
      </c>
      <c r="R38" s="588" t="n">
        <v>0</v>
      </c>
      <c r="S38" s="588" t="n">
        <v>0</v>
      </c>
      <c r="T38" s="588" t="n">
        <v>0</v>
      </c>
      <c r="U38" s="588" t="n">
        <v>0</v>
      </c>
      <c r="V38" s="588" t="n">
        <v>0</v>
      </c>
      <c r="W38" s="588" t="n">
        <v>0</v>
      </c>
      <c r="X38" s="588" t="n">
        <v>0</v>
      </c>
      <c r="Y38" s="588" t="n">
        <v>0</v>
      </c>
      <c r="Z38" s="588" t="n">
        <v>0</v>
      </c>
      <c r="AA38" s="588" t="n">
        <v>0</v>
      </c>
      <c r="AB38" s="588" t="n">
        <v>0</v>
      </c>
      <c r="AC38" s="588" t="n">
        <v>0</v>
      </c>
      <c r="AD38" s="588" t="n">
        <v>0</v>
      </c>
      <c r="AE38" s="588" t="n"/>
      <c r="AF38" s="592" t="n"/>
      <c r="AH38" s="13" t="inlineStr">
        <is>
          <t>SALT</t>
        </is>
      </c>
      <c r="AI38" s="55">
        <f>SUM($B38:B38)/1</f>
        <v/>
      </c>
      <c r="AJ38" s="55">
        <f>SUM($B38:C38)/2</f>
        <v/>
      </c>
      <c r="AK38" s="55">
        <f>SUM($B38:D38)/3</f>
        <v/>
      </c>
      <c r="AL38" s="55">
        <f>SUM($B38:E38)/4</f>
        <v/>
      </c>
      <c r="AM38" s="55">
        <f>SUM($B38:F38)/5</f>
        <v/>
      </c>
      <c r="AN38" s="55">
        <f>SUM($B38:G38)/6</f>
        <v/>
      </c>
      <c r="AO38" s="55">
        <f>SUM($B38:H38)/7</f>
        <v/>
      </c>
      <c r="AP38" s="55">
        <f>SUM($B38:I38)/8</f>
        <v/>
      </c>
      <c r="AQ38" s="55">
        <f>SUM($B38:J38)/9</f>
        <v/>
      </c>
      <c r="AR38" s="55">
        <f>SUM($B38:K38)/10</f>
        <v/>
      </c>
      <c r="AS38" s="55">
        <f>SUM($B38:L38)/11</f>
        <v/>
      </c>
      <c r="AT38" s="55">
        <f>SUM($B38:M38)/12</f>
        <v/>
      </c>
      <c r="AU38" s="55">
        <f>SUM($B38:N38)/13</f>
        <v/>
      </c>
      <c r="AV38" s="55">
        <f>SUM($B38:O38)/14</f>
        <v/>
      </c>
      <c r="AW38" s="55">
        <f>SUM($B38:P38)/15</f>
        <v/>
      </c>
      <c r="AX38" s="55">
        <f>SUM($B38:Q38)/16</f>
        <v/>
      </c>
      <c r="AY38" s="55">
        <f>SUM($B38:R38)/17</f>
        <v/>
      </c>
      <c r="AZ38" s="55">
        <f>SUM($B38:S38)/18</f>
        <v/>
      </c>
      <c r="BA38" s="55">
        <f>SUM($B38:T38)/19</f>
        <v/>
      </c>
      <c r="BB38" s="55">
        <f>SUM($B38:U38)/20</f>
        <v/>
      </c>
      <c r="BC38" s="55">
        <f>SUM($B38:V38)/21</f>
        <v/>
      </c>
      <c r="BD38" s="55">
        <f>SUM($B38:W38)/22</f>
        <v/>
      </c>
      <c r="BE38" s="55">
        <f>SUM($B38:X38)/23</f>
        <v/>
      </c>
      <c r="BF38" s="55">
        <f>SUM($B38:Y38)/24</f>
        <v/>
      </c>
      <c r="BG38" s="55">
        <f>SUM($B38:Z38)/25</f>
        <v/>
      </c>
      <c r="BH38" s="55">
        <f>SUM($B38:AA38)/26</f>
        <v/>
      </c>
      <c r="BI38" s="55">
        <f>SUM($B38:AB38)/27</f>
        <v/>
      </c>
      <c r="BJ38" s="55">
        <f>SUM($B38:AC38)/28</f>
        <v/>
      </c>
      <c r="BK38" s="55">
        <f>SUM($B38:AD38)/29</f>
        <v/>
      </c>
      <c r="BL38" s="55" t="n"/>
      <c r="BM38" s="55" t="n"/>
      <c r="BO38" s="13" t="inlineStr">
        <is>
          <t>SALT</t>
        </is>
      </c>
      <c r="BP38" s="51">
        <f>(0.0+SUM($B38:B38))/(306+1)</f>
        <v/>
      </c>
      <c r="BQ38" s="51">
        <f>(0.0+SUM($B38:C38))/(306+2)</f>
        <v/>
      </c>
      <c r="BR38" s="51">
        <f>(0.0+SUM($B38:D38))/(306+3)</f>
        <v/>
      </c>
      <c r="BS38" s="51">
        <f>(0.0+SUM($B38:E38))/(306+4)</f>
        <v/>
      </c>
      <c r="BT38" s="51">
        <f>(0.0+SUM($B38:F38))/(306+5)</f>
        <v/>
      </c>
      <c r="BU38" s="51">
        <f>(0.0+SUM($B38:G38))/(306+6)</f>
        <v/>
      </c>
      <c r="BV38" s="51">
        <f>(0.0+SUM($B38:H38))/(306+7)</f>
        <v/>
      </c>
      <c r="BW38" s="51">
        <f>(0.0+SUM($B38:I38))/(306+8)</f>
        <v/>
      </c>
      <c r="BX38" s="51">
        <f>(0.0+SUM($B38:J38))/(306+9)</f>
        <v/>
      </c>
      <c r="BY38" s="51">
        <f>(0.0+SUM($B38:K38))/(306+10)</f>
        <v/>
      </c>
      <c r="BZ38" s="51">
        <f>(0.0+SUM($B38:L38))/(306+11)</f>
        <v/>
      </c>
      <c r="CA38" s="51">
        <f>(0.0+SUM($B38:M38))/(306+12)</f>
        <v/>
      </c>
      <c r="CB38" s="51">
        <f>(0.0+SUM($B38:N38))/(306+13)</f>
        <v/>
      </c>
      <c r="CC38" s="51">
        <f>(0.0+SUM($B38:O38))/(306+14)</f>
        <v/>
      </c>
      <c r="CD38" s="51">
        <f>(0.0+SUM($B38:P38))/(306+15)</f>
        <v/>
      </c>
      <c r="CE38" s="51">
        <f>(0.0+SUM($B38:Q38))/(306+16)</f>
        <v/>
      </c>
      <c r="CF38" s="51">
        <f>(0.0+SUM($B38:R38))/(306+17)</f>
        <v/>
      </c>
      <c r="CG38" s="51">
        <f>(0.0+SUM($B38:S38))/(306+18)</f>
        <v/>
      </c>
      <c r="CH38" s="51">
        <f>(0.0+SUM($B38:T38))/(306+19)</f>
        <v/>
      </c>
      <c r="CI38" s="51">
        <f>(0.0+SUM($B38:U38))/(306+20)</f>
        <v/>
      </c>
      <c r="CJ38" s="51">
        <f>(0.0+SUM($B38:V38))/(306+21)</f>
        <v/>
      </c>
      <c r="CK38" s="51">
        <f>(0.0+SUM($B38:W38))/(306+22)</f>
        <v/>
      </c>
      <c r="CL38" s="51">
        <f>(0.0+SUM($B38:X38))/(306+23)</f>
        <v/>
      </c>
      <c r="CM38" s="51">
        <f>(0.0+SUM($B38:Y38))/(306+24)</f>
        <v/>
      </c>
      <c r="CN38" s="51">
        <f>(0.0+SUM($B38:Z38))/(306+25)</f>
        <v/>
      </c>
      <c r="CO38" s="51">
        <f>(0.0+SUM($B38:AA38))/(306+26)</f>
        <v/>
      </c>
      <c r="CP38" s="51">
        <f>(0.0+SUM($B38:AB38))/(306+27)</f>
        <v/>
      </c>
      <c r="CQ38" s="51">
        <f>(0.0+SUM($B38:AC38))/(306+28)</f>
        <v/>
      </c>
      <c r="CR38" s="51">
        <f>(0.0+SUM($B38:AD38))/(306+29)</f>
        <v/>
      </c>
      <c r="CS38" s="51" t="n"/>
      <c r="CT38" s="50" t="n"/>
      <c r="CU38" s="23" t="n"/>
      <c r="CV38" s="23" t="n"/>
      <c r="CW38" s="23" t="n"/>
      <c r="CY38" s="13" t="inlineStr">
        <is>
          <t>SALT</t>
        </is>
      </c>
      <c r="CZ38" s="51" t="n">
        <v>387.0731707317073</v>
      </c>
      <c r="DA38" s="51" t="n">
        <v>387.8870967741935</v>
      </c>
      <c r="DB38" s="51" t="n">
        <v>389.592</v>
      </c>
      <c r="DC38" s="51" t="n">
        <v>389.9126984126984</v>
      </c>
      <c r="DD38" s="51" t="n">
        <v>389.6692913385827</v>
      </c>
      <c r="DE38" s="51" t="n">
        <v>390.5625</v>
      </c>
      <c r="DF38" s="51" t="n">
        <v>390.9922480620155</v>
      </c>
      <c r="DG38" s="51" t="n">
        <v>391.7153846153846</v>
      </c>
      <c r="DH38" s="51" t="n">
        <v>392.5343511450382</v>
      </c>
      <c r="DI38" s="51" t="n">
        <v>393.75</v>
      </c>
      <c r="DJ38" s="51" t="n">
        <v>394.5187969924812</v>
      </c>
      <c r="DK38" s="51" t="n">
        <v>395.2014925373134</v>
      </c>
      <c r="DL38" s="51" t="n">
        <v>396.1259259259259</v>
      </c>
      <c r="DM38" s="51" t="n">
        <v>396.7426470588235</v>
      </c>
      <c r="DN38" s="51" t="n">
        <v>396.3795620437956</v>
      </c>
      <c r="DO38" s="51" t="n">
        <v>394.5072463768116</v>
      </c>
      <c r="DP38" s="51" t="n">
        <v>393.6978417266187</v>
      </c>
      <c r="DQ38" s="51" t="n">
        <v>395.4071428571428</v>
      </c>
      <c r="DR38" s="51" t="n">
        <v>394.3191489361702</v>
      </c>
      <c r="DS38" s="51" t="n">
        <v>395.6478873239437</v>
      </c>
      <c r="DT38" s="51" t="n">
        <v>396.1468531468532</v>
      </c>
      <c r="DU38" s="51" t="n">
        <v>395.625</v>
      </c>
      <c r="DV38" s="51" t="n">
        <v>394.4551724137931</v>
      </c>
      <c r="DW38" s="51" t="n">
        <v>395.2671232876712</v>
      </c>
      <c r="DX38" s="51" t="n">
        <v>394.8639455782313</v>
      </c>
      <c r="DY38" s="51" t="n">
        <v>394.6554054054054</v>
      </c>
      <c r="DZ38" s="51" t="n">
        <v>394.8590604026846</v>
      </c>
      <c r="EA38" s="51" t="n">
        <v>394.7466666666667</v>
      </c>
      <c r="EB38" s="51" t="n">
        <v>395.8741721854304</v>
      </c>
      <c r="EC38" s="51" t="n">
        <v>395.6447368421053</v>
      </c>
      <c r="ED38" s="50" t="n">
        <v>396.1764705882353</v>
      </c>
    </row>
    <row r="39" ht="16.5" customHeight="1" thickBot="1">
      <c r="A39" s="13" t="inlineStr">
        <is>
          <t>STEEL</t>
        </is>
      </c>
      <c r="B39" s="588" t="n">
        <v>0</v>
      </c>
      <c r="C39" s="588" t="n">
        <v>0</v>
      </c>
      <c r="D39" s="588" t="n">
        <v>0</v>
      </c>
      <c r="E39" s="588" t="n">
        <v>0</v>
      </c>
      <c r="F39" s="588" t="n">
        <v>0</v>
      </c>
      <c r="G39" s="588" t="n">
        <v>0</v>
      </c>
      <c r="H39" s="588" t="n">
        <v>0</v>
      </c>
      <c r="I39" s="588" t="n">
        <v>0</v>
      </c>
      <c r="J39" s="588" t="n">
        <v>0</v>
      </c>
      <c r="K39" s="588" t="n">
        <v>0</v>
      </c>
      <c r="L39" s="588" t="n">
        <v>0</v>
      </c>
      <c r="M39" s="588" t="n">
        <v>0</v>
      </c>
      <c r="N39" s="588" t="n">
        <v>0</v>
      </c>
      <c r="O39" s="588" t="n">
        <v>0</v>
      </c>
      <c r="P39" s="588" t="n">
        <v>0</v>
      </c>
      <c r="Q39" s="588" t="n">
        <v>0</v>
      </c>
      <c r="R39" s="588" t="n">
        <v>0</v>
      </c>
      <c r="S39" s="588" t="n">
        <v>0</v>
      </c>
      <c r="T39" s="588" t="n">
        <v>0</v>
      </c>
      <c r="U39" s="588" t="n">
        <v>0</v>
      </c>
      <c r="V39" s="588" t="n">
        <v>0</v>
      </c>
      <c r="W39" s="588" t="n">
        <v>0</v>
      </c>
      <c r="X39" s="588" t="n">
        <v>0</v>
      </c>
      <c r="Y39" s="588" t="n">
        <v>0</v>
      </c>
      <c r="Z39" s="588" t="n">
        <v>0</v>
      </c>
      <c r="AA39" s="588" t="n">
        <v>0</v>
      </c>
      <c r="AB39" s="588" t="n">
        <v>0</v>
      </c>
      <c r="AC39" s="588" t="n">
        <v>0</v>
      </c>
      <c r="AD39" s="588" t="n">
        <v>0</v>
      </c>
      <c r="AE39" s="588" t="n"/>
      <c r="AF39" s="592" t="n"/>
      <c r="AH39" s="13" t="inlineStr">
        <is>
          <t>STEEL</t>
        </is>
      </c>
      <c r="AI39" s="55">
        <f>SUM($B39:B39)/1</f>
        <v/>
      </c>
      <c r="AJ39" s="55">
        <f>SUM($B39:C39)/2</f>
        <v/>
      </c>
      <c r="AK39" s="55">
        <f>SUM($B39:D39)/3</f>
        <v/>
      </c>
      <c r="AL39" s="55">
        <f>SUM($B39:E39)/4</f>
        <v/>
      </c>
      <c r="AM39" s="55">
        <f>SUM($B39:F39)/5</f>
        <v/>
      </c>
      <c r="AN39" s="55">
        <f>SUM($B39:G39)/6</f>
        <v/>
      </c>
      <c r="AO39" s="55">
        <f>SUM($B39:H39)/7</f>
        <v/>
      </c>
      <c r="AP39" s="55">
        <f>SUM($B39:I39)/8</f>
        <v/>
      </c>
      <c r="AQ39" s="55">
        <f>SUM($B39:J39)/9</f>
        <v/>
      </c>
      <c r="AR39" s="55">
        <f>SUM($B39:K39)/10</f>
        <v/>
      </c>
      <c r="AS39" s="55">
        <f>SUM($B39:L39)/11</f>
        <v/>
      </c>
      <c r="AT39" s="55">
        <f>SUM($B39:M39)/12</f>
        <v/>
      </c>
      <c r="AU39" s="55">
        <f>SUM($B39:N39)/13</f>
        <v/>
      </c>
      <c r="AV39" s="55">
        <f>SUM($B39:O39)/14</f>
        <v/>
      </c>
      <c r="AW39" s="55">
        <f>SUM($B39:P39)/15</f>
        <v/>
      </c>
      <c r="AX39" s="55">
        <f>SUM($B39:Q39)/16</f>
        <v/>
      </c>
      <c r="AY39" s="55">
        <f>SUM($B39:R39)/17</f>
        <v/>
      </c>
      <c r="AZ39" s="55">
        <f>SUM($B39:S39)/18</f>
        <v/>
      </c>
      <c r="BA39" s="55">
        <f>SUM($B39:T39)/19</f>
        <v/>
      </c>
      <c r="BB39" s="55">
        <f>SUM($B39:U39)/20</f>
        <v/>
      </c>
      <c r="BC39" s="55">
        <f>SUM($B39:V39)/21</f>
        <v/>
      </c>
      <c r="BD39" s="55">
        <f>SUM($B39:W39)/22</f>
        <v/>
      </c>
      <c r="BE39" s="55">
        <f>SUM($B39:X39)/23</f>
        <v/>
      </c>
      <c r="BF39" s="55">
        <f>SUM($B39:Y39)/24</f>
        <v/>
      </c>
      <c r="BG39" s="55">
        <f>SUM($B39:Z39)/25</f>
        <v/>
      </c>
      <c r="BH39" s="55">
        <f>SUM($B39:AA39)/26</f>
        <v/>
      </c>
      <c r="BI39" s="55">
        <f>SUM($B39:AB39)/27</f>
        <v/>
      </c>
      <c r="BJ39" s="55">
        <f>SUM($B39:AC39)/28</f>
        <v/>
      </c>
      <c r="BK39" s="55">
        <f>SUM($B39:AD39)/29</f>
        <v/>
      </c>
      <c r="BL39" s="55" t="n"/>
      <c r="BM39" s="55" t="n"/>
      <c r="BO39" s="13" t="inlineStr">
        <is>
          <t>STEEL</t>
        </is>
      </c>
      <c r="BP39" s="51">
        <f>(0.0+SUM($B39:B39))/(306+1)</f>
        <v/>
      </c>
      <c r="BQ39" s="51">
        <f>(0.0+SUM($B39:C39))/(306+2)</f>
        <v/>
      </c>
      <c r="BR39" s="51">
        <f>(0.0+SUM($B39:D39))/(306+3)</f>
        <v/>
      </c>
      <c r="BS39" s="51">
        <f>(0.0+SUM($B39:E39))/(306+4)</f>
        <v/>
      </c>
      <c r="BT39" s="51">
        <f>(0.0+SUM($B39:F39))/(306+5)</f>
        <v/>
      </c>
      <c r="BU39" s="51">
        <f>(0.0+SUM($B39:G39))/(306+6)</f>
        <v/>
      </c>
      <c r="BV39" s="51">
        <f>(0.0+SUM($B39:H39))/(306+7)</f>
        <v/>
      </c>
      <c r="BW39" s="51">
        <f>(0.0+SUM($B39:I39))/(306+8)</f>
        <v/>
      </c>
      <c r="BX39" s="51">
        <f>(0.0+SUM($B39:J39))/(306+9)</f>
        <v/>
      </c>
      <c r="BY39" s="51">
        <f>(0.0+SUM($B39:K39))/(306+10)</f>
        <v/>
      </c>
      <c r="BZ39" s="51">
        <f>(0.0+SUM($B39:L39))/(306+11)</f>
        <v/>
      </c>
      <c r="CA39" s="51">
        <f>(0.0+SUM($B39:M39))/(306+12)</f>
        <v/>
      </c>
      <c r="CB39" s="51">
        <f>(0.0+SUM($B39:N39))/(306+13)</f>
        <v/>
      </c>
      <c r="CC39" s="51">
        <f>(0.0+SUM($B39:O39))/(306+14)</f>
        <v/>
      </c>
      <c r="CD39" s="51">
        <f>(0.0+SUM($B39:P39))/(306+15)</f>
        <v/>
      </c>
      <c r="CE39" s="51">
        <f>(0.0+SUM($B39:Q39))/(306+16)</f>
        <v/>
      </c>
      <c r="CF39" s="51">
        <f>(0.0+SUM($B39:R39))/(306+17)</f>
        <v/>
      </c>
      <c r="CG39" s="51">
        <f>(0.0+SUM($B39:S39))/(306+18)</f>
        <v/>
      </c>
      <c r="CH39" s="51">
        <f>(0.0+SUM($B39:T39))/(306+19)</f>
        <v/>
      </c>
      <c r="CI39" s="51">
        <f>(0.0+SUM($B39:U39))/(306+20)</f>
        <v/>
      </c>
      <c r="CJ39" s="51">
        <f>(0.0+SUM($B39:V39))/(306+21)</f>
        <v/>
      </c>
      <c r="CK39" s="51">
        <f>(0.0+SUM($B39:W39))/(306+22)</f>
        <v/>
      </c>
      <c r="CL39" s="51">
        <f>(0.0+SUM($B39:X39))/(306+23)</f>
        <v/>
      </c>
      <c r="CM39" s="51">
        <f>(0.0+SUM($B39:Y39))/(306+24)</f>
        <v/>
      </c>
      <c r="CN39" s="51">
        <f>(0.0+SUM($B39:Z39))/(306+25)</f>
        <v/>
      </c>
      <c r="CO39" s="51">
        <f>(0.0+SUM($B39:AA39))/(306+26)</f>
        <v/>
      </c>
      <c r="CP39" s="51">
        <f>(0.0+SUM($B39:AB39))/(306+27)</f>
        <v/>
      </c>
      <c r="CQ39" s="51">
        <f>(0.0+SUM($B39:AC39))/(306+28)</f>
        <v/>
      </c>
      <c r="CR39" s="51">
        <f>(0.0+SUM($B39:AD39))/(306+29)</f>
        <v/>
      </c>
      <c r="CS39" s="51" t="n"/>
      <c r="CT39" s="50" t="n"/>
      <c r="CU39" s="23" t="n"/>
      <c r="CV39" s="23" t="n"/>
      <c r="CW39" s="23" t="n"/>
      <c r="CY39" s="13" t="inlineStr">
        <is>
          <t>STEEL</t>
        </is>
      </c>
      <c r="CZ39" s="51" t="n">
        <v>35.72357723577236</v>
      </c>
      <c r="DA39" s="51" t="n">
        <v>35.78225806451613</v>
      </c>
      <c r="DB39" s="51" t="n">
        <v>35.496</v>
      </c>
      <c r="DC39" s="51" t="n">
        <v>35.55555555555556</v>
      </c>
      <c r="DD39" s="51" t="n">
        <v>35.61417322834646</v>
      </c>
      <c r="DE39" s="51" t="n">
        <v>35.671875</v>
      </c>
      <c r="DF39" s="51" t="n">
        <v>35.72868217054263</v>
      </c>
      <c r="DG39" s="51" t="n">
        <v>35.78461538461539</v>
      </c>
      <c r="DH39" s="51" t="n">
        <v>35.83969465648855</v>
      </c>
      <c r="DI39" s="51" t="n">
        <v>35.89393939393939</v>
      </c>
      <c r="DJ39" s="51" t="n">
        <v>35.62406015037594</v>
      </c>
      <c r="DK39" s="51" t="n">
        <v>35.35820895522388</v>
      </c>
      <c r="DL39" s="51" t="n">
        <v>35.09629629629629</v>
      </c>
      <c r="DM39" s="51" t="n">
        <v>35.47058823529412</v>
      </c>
      <c r="DN39" s="51" t="n">
        <v>35.52554744525548</v>
      </c>
      <c r="DO39" s="51" t="n">
        <v>35.57971014492754</v>
      </c>
      <c r="DP39" s="51" t="n">
        <v>35.32374100719424</v>
      </c>
      <c r="DQ39" s="51" t="n">
        <v>35.99285714285714</v>
      </c>
      <c r="DR39" s="51" t="n">
        <v>35.73758865248227</v>
      </c>
      <c r="DS39" s="51" t="n">
        <v>35.48591549295774</v>
      </c>
      <c r="DT39" s="51" t="n">
        <v>35.23776223776224</v>
      </c>
      <c r="DU39" s="51" t="n">
        <v>35.28472222222222</v>
      </c>
      <c r="DV39" s="51" t="n">
        <v>36.22758620689655</v>
      </c>
      <c r="DW39" s="51" t="n">
        <v>36.56849315068493</v>
      </c>
      <c r="DX39" s="51" t="n">
        <v>36.31972789115646</v>
      </c>
      <c r="DY39" s="51" t="n">
        <v>36.6554054054054</v>
      </c>
      <c r="DZ39" s="51" t="n">
        <v>36.40939597315436</v>
      </c>
      <c r="EA39" s="51" t="n">
        <v>36.44666666666667</v>
      </c>
      <c r="EB39" s="51" t="n">
        <v>36.20529801324503</v>
      </c>
      <c r="EC39" s="51" t="n">
        <v>36.5328947368421</v>
      </c>
      <c r="ED39" s="50" t="n">
        <v>36.57516339869281</v>
      </c>
    </row>
    <row r="40" ht="16.5" customHeight="1" thickBot="1">
      <c r="A40" s="13" t="inlineStr">
        <is>
          <t>DOC</t>
        </is>
      </c>
      <c r="B40" s="588" t="n">
        <v>0</v>
      </c>
      <c r="C40" s="588" t="n">
        <v>0</v>
      </c>
      <c r="D40" s="588" t="n">
        <v>0</v>
      </c>
      <c r="E40" s="588" t="n">
        <v>0</v>
      </c>
      <c r="F40" s="588" t="n">
        <v>0</v>
      </c>
      <c r="G40" s="588" t="n">
        <v>0</v>
      </c>
      <c r="H40" s="588" t="n">
        <v>0</v>
      </c>
      <c r="I40" s="588" t="n">
        <v>0</v>
      </c>
      <c r="J40" s="588" t="n">
        <v>0</v>
      </c>
      <c r="K40" s="588" t="n">
        <v>0</v>
      </c>
      <c r="L40" s="588" t="n">
        <v>0</v>
      </c>
      <c r="M40" s="588" t="n">
        <v>0</v>
      </c>
      <c r="N40" s="588" t="n">
        <v>0</v>
      </c>
      <c r="O40" s="588" t="n">
        <v>0</v>
      </c>
      <c r="P40" s="588" t="n">
        <v>0</v>
      </c>
      <c r="Q40" s="588" t="n">
        <v>0</v>
      </c>
      <c r="R40" s="588" t="n">
        <v>0</v>
      </c>
      <c r="S40" s="588" t="n">
        <v>0</v>
      </c>
      <c r="T40" s="588" t="n">
        <v>0</v>
      </c>
      <c r="U40" s="588" t="n">
        <v>0</v>
      </c>
      <c r="V40" s="588" t="n">
        <v>0</v>
      </c>
      <c r="W40" s="588" t="n">
        <v>0</v>
      </c>
      <c r="X40" s="588" t="n">
        <v>0</v>
      </c>
      <c r="Y40" s="588" t="n">
        <v>0</v>
      </c>
      <c r="Z40" s="588" t="n">
        <v>0</v>
      </c>
      <c r="AA40" s="588" t="n">
        <v>0</v>
      </c>
      <c r="AB40" s="588" t="n">
        <v>0</v>
      </c>
      <c r="AC40" s="588" t="n">
        <v>0</v>
      </c>
      <c r="AD40" s="588" t="n">
        <v>0</v>
      </c>
      <c r="AE40" s="588" t="n"/>
      <c r="AF40" s="592" t="n"/>
      <c r="AH40" s="13" t="inlineStr">
        <is>
          <t>DOC</t>
        </is>
      </c>
      <c r="AI40" s="55">
        <f>SUM($B40:B40)/1</f>
        <v/>
      </c>
      <c r="AJ40" s="55">
        <f>SUM($B40:C40)/2</f>
        <v/>
      </c>
      <c r="AK40" s="55">
        <f>SUM($B40:D40)/3</f>
        <v/>
      </c>
      <c r="AL40" s="55">
        <f>SUM($B40:E40)/4</f>
        <v/>
      </c>
      <c r="AM40" s="55">
        <f>SUM($B40:F40)/5</f>
        <v/>
      </c>
      <c r="AN40" s="55">
        <f>SUM($B40:G40)/6</f>
        <v/>
      </c>
      <c r="AO40" s="55">
        <f>SUM($B40:H40)/7</f>
        <v/>
      </c>
      <c r="AP40" s="55">
        <f>SUM($B40:I40)/8</f>
        <v/>
      </c>
      <c r="AQ40" s="55">
        <f>SUM($B40:J40)/9</f>
        <v/>
      </c>
      <c r="AR40" s="55">
        <f>SUM($B40:K40)/10</f>
        <v/>
      </c>
      <c r="AS40" s="55">
        <f>SUM($B40:L40)/11</f>
        <v/>
      </c>
      <c r="AT40" s="55">
        <f>SUM($B40:M40)/12</f>
        <v/>
      </c>
      <c r="AU40" s="55">
        <f>SUM($B40:N40)/13</f>
        <v/>
      </c>
      <c r="AV40" s="55">
        <f>SUM($B40:O40)/14</f>
        <v/>
      </c>
      <c r="AW40" s="55">
        <f>SUM($B40:P40)/15</f>
        <v/>
      </c>
      <c r="AX40" s="55">
        <f>SUM($B40:Q40)/16</f>
        <v/>
      </c>
      <c r="AY40" s="55">
        <f>SUM($B40:R40)/17</f>
        <v/>
      </c>
      <c r="AZ40" s="55">
        <f>SUM($B40:S40)/18</f>
        <v/>
      </c>
      <c r="BA40" s="55">
        <f>SUM($B40:T40)/19</f>
        <v/>
      </c>
      <c r="BB40" s="55">
        <f>SUM($B40:U40)/20</f>
        <v/>
      </c>
      <c r="BC40" s="55">
        <f>SUM($B40:V40)/21</f>
        <v/>
      </c>
      <c r="BD40" s="55">
        <f>SUM($B40:W40)/22</f>
        <v/>
      </c>
      <c r="BE40" s="55">
        <f>SUM($B40:X40)/23</f>
        <v/>
      </c>
      <c r="BF40" s="55">
        <f>SUM($B40:Y40)/24</f>
        <v/>
      </c>
      <c r="BG40" s="55">
        <f>SUM($B40:Z40)/25</f>
        <v/>
      </c>
      <c r="BH40" s="55">
        <f>SUM($B40:AA40)/26</f>
        <v/>
      </c>
      <c r="BI40" s="55">
        <f>SUM($B40:AB40)/27</f>
        <v/>
      </c>
      <c r="BJ40" s="55">
        <f>SUM($B40:AC40)/28</f>
        <v/>
      </c>
      <c r="BK40" s="55">
        <f>SUM($B40:AD40)/29</f>
        <v/>
      </c>
      <c r="BL40" s="55" t="n"/>
      <c r="BM40" s="55" t="n"/>
      <c r="BO40" s="13" t="inlineStr">
        <is>
          <t>DOC</t>
        </is>
      </c>
      <c r="BP40" s="51">
        <f>(0.0+SUM($B40:B40))/(306+1)</f>
        <v/>
      </c>
      <c r="BQ40" s="51">
        <f>(0.0+SUM($B40:C40))/(306+2)</f>
        <v/>
      </c>
      <c r="BR40" s="51">
        <f>(0.0+SUM($B40:D40))/(306+3)</f>
        <v/>
      </c>
      <c r="BS40" s="51">
        <f>(0.0+SUM($B40:E40))/(306+4)</f>
        <v/>
      </c>
      <c r="BT40" s="51">
        <f>(0.0+SUM($B40:F40))/(306+5)</f>
        <v/>
      </c>
      <c r="BU40" s="51">
        <f>(0.0+SUM($B40:G40))/(306+6)</f>
        <v/>
      </c>
      <c r="BV40" s="51">
        <f>(0.0+SUM($B40:H40))/(306+7)</f>
        <v/>
      </c>
      <c r="BW40" s="51">
        <f>(0.0+SUM($B40:I40))/(306+8)</f>
        <v/>
      </c>
      <c r="BX40" s="51">
        <f>(0.0+SUM($B40:J40))/(306+9)</f>
        <v/>
      </c>
      <c r="BY40" s="51">
        <f>(0.0+SUM($B40:K40))/(306+10)</f>
        <v/>
      </c>
      <c r="BZ40" s="51">
        <f>(0.0+SUM($B40:L40))/(306+11)</f>
        <v/>
      </c>
      <c r="CA40" s="51">
        <f>(0.0+SUM($B40:M40))/(306+12)</f>
        <v/>
      </c>
      <c r="CB40" s="51">
        <f>(0.0+SUM($B40:N40))/(306+13)</f>
        <v/>
      </c>
      <c r="CC40" s="51">
        <f>(0.0+SUM($B40:O40))/(306+14)</f>
        <v/>
      </c>
      <c r="CD40" s="51">
        <f>(0.0+SUM($B40:P40))/(306+15)</f>
        <v/>
      </c>
      <c r="CE40" s="51">
        <f>(0.0+SUM($B40:Q40))/(306+16)</f>
        <v/>
      </c>
      <c r="CF40" s="51">
        <f>(0.0+SUM($B40:R40))/(306+17)</f>
        <v/>
      </c>
      <c r="CG40" s="51">
        <f>(0.0+SUM($B40:S40))/(306+18)</f>
        <v/>
      </c>
      <c r="CH40" s="51">
        <f>(0.0+SUM($B40:T40))/(306+19)</f>
        <v/>
      </c>
      <c r="CI40" s="51">
        <f>(0.0+SUM($B40:U40))/(306+20)</f>
        <v/>
      </c>
      <c r="CJ40" s="51">
        <f>(0.0+SUM($B40:V40))/(306+21)</f>
        <v/>
      </c>
      <c r="CK40" s="51">
        <f>(0.0+SUM($B40:W40))/(306+22)</f>
        <v/>
      </c>
      <c r="CL40" s="51">
        <f>(0.0+SUM($B40:X40))/(306+23)</f>
        <v/>
      </c>
      <c r="CM40" s="51">
        <f>(0.0+SUM($B40:Y40))/(306+24)</f>
        <v/>
      </c>
      <c r="CN40" s="51">
        <f>(0.0+SUM($B40:Z40))/(306+25)</f>
        <v/>
      </c>
      <c r="CO40" s="51">
        <f>(0.0+SUM($B40:AA40))/(306+26)</f>
        <v/>
      </c>
      <c r="CP40" s="51">
        <f>(0.0+SUM($B40:AB40))/(306+27)</f>
        <v/>
      </c>
      <c r="CQ40" s="51">
        <f>(0.0+SUM($B40:AC40))/(306+28)</f>
        <v/>
      </c>
      <c r="CR40" s="51">
        <f>(0.0+SUM($B40:AD40))/(306+29)</f>
        <v/>
      </c>
      <c r="CS40" s="51" t="n"/>
      <c r="CT40" s="50" t="n"/>
      <c r="CU40" s="23" t="n"/>
      <c r="CV40" s="23" t="n"/>
      <c r="CW40" s="23" t="n"/>
      <c r="CY40" s="13" t="inlineStr">
        <is>
          <t>DOC</t>
        </is>
      </c>
      <c r="CZ40" s="51" t="n">
        <v>11.12195121951219</v>
      </c>
      <c r="DA40" s="51" t="n">
        <v>11.20161290322581</v>
      </c>
      <c r="DB40" s="51" t="n">
        <v>11.448</v>
      </c>
      <c r="DC40" s="51" t="n">
        <v>11.69047619047619</v>
      </c>
      <c r="DD40" s="51" t="n">
        <v>11.59842519685039</v>
      </c>
      <c r="DE40" s="51" t="n">
        <v>11.5078125</v>
      </c>
      <c r="DF40" s="51" t="n">
        <v>11.97674418604651</v>
      </c>
      <c r="DG40" s="51" t="n">
        <v>12.04615384615385</v>
      </c>
      <c r="DH40" s="51" t="n">
        <v>11.95419847328244</v>
      </c>
      <c r="DI40" s="51" t="n">
        <v>11.86363636363636</v>
      </c>
      <c r="DJ40" s="51" t="n">
        <v>12.09022556390977</v>
      </c>
      <c r="DK40" s="51" t="n">
        <v>12.3134328358209</v>
      </c>
      <c r="DL40" s="51" t="n">
        <v>12.68888888888889</v>
      </c>
      <c r="DM40" s="51" t="n">
        <v>12.75</v>
      </c>
      <c r="DN40" s="51" t="n">
        <v>12.65693430656934</v>
      </c>
      <c r="DO40" s="51" t="n">
        <v>12.8695652173913</v>
      </c>
      <c r="DP40" s="51" t="n">
        <v>12.77697841726619</v>
      </c>
      <c r="DQ40" s="51" t="n">
        <v>12.98571428571429</v>
      </c>
      <c r="DR40" s="51" t="n">
        <v>13.19148936170213</v>
      </c>
      <c r="DS40" s="51" t="n">
        <v>13.09859154929577</v>
      </c>
      <c r="DT40" s="51" t="n">
        <v>13.3006993006993</v>
      </c>
      <c r="DU40" s="51" t="n">
        <v>13.5</v>
      </c>
      <c r="DV40" s="51" t="n">
        <v>13.40689655172414</v>
      </c>
      <c r="DW40" s="51" t="n">
        <v>13.6027397260274</v>
      </c>
      <c r="DX40" s="51" t="n">
        <v>13.51020408163265</v>
      </c>
      <c r="DY40" s="51" t="n">
        <v>13.41891891891892</v>
      </c>
      <c r="DZ40" s="51" t="n">
        <v>13.46979865771812</v>
      </c>
      <c r="EA40" s="51" t="n">
        <v>13.38</v>
      </c>
      <c r="EB40" s="51" t="n">
        <v>13.29139072847682</v>
      </c>
      <c r="EC40" s="51" t="n">
        <v>13.48026315789474</v>
      </c>
      <c r="ED40" s="50" t="n">
        <v>13.66666666666667</v>
      </c>
    </row>
    <row r="41" ht="16.5" customHeight="1" thickBot="1">
      <c r="A41" s="13" t="inlineStr">
        <is>
          <t>FG</t>
        </is>
      </c>
      <c r="B41" s="588" t="n">
        <v>0</v>
      </c>
      <c r="C41" s="588" t="n">
        <v>0</v>
      </c>
      <c r="D41" s="588" t="n">
        <v>0</v>
      </c>
      <c r="E41" s="588" t="n">
        <v>0</v>
      </c>
      <c r="F41" s="588" t="n">
        <v>0</v>
      </c>
      <c r="G41" s="588" t="n">
        <v>0</v>
      </c>
      <c r="H41" s="588" t="n">
        <v>0</v>
      </c>
      <c r="I41" s="588" t="n">
        <v>0</v>
      </c>
      <c r="J41" s="588" t="n">
        <v>0</v>
      </c>
      <c r="K41" s="588" t="n">
        <v>0</v>
      </c>
      <c r="L41" s="588" t="n">
        <v>0</v>
      </c>
      <c r="M41" s="588" t="n">
        <v>0</v>
      </c>
      <c r="N41" s="588" t="n">
        <v>0</v>
      </c>
      <c r="O41" s="588" t="n">
        <v>0</v>
      </c>
      <c r="P41" s="588" t="n">
        <v>0</v>
      </c>
      <c r="Q41" s="588" t="n">
        <v>0</v>
      </c>
      <c r="R41" s="588" t="n">
        <v>0</v>
      </c>
      <c r="S41" s="588" t="n">
        <v>0</v>
      </c>
      <c r="T41" s="588" t="n">
        <v>0</v>
      </c>
      <c r="U41" s="588" t="n">
        <v>0</v>
      </c>
      <c r="V41" s="588" t="n">
        <v>0</v>
      </c>
      <c r="W41" s="588" t="n">
        <v>0</v>
      </c>
      <c r="X41" s="588" t="n">
        <v>0</v>
      </c>
      <c r="Y41" s="588" t="n">
        <v>0</v>
      </c>
      <c r="Z41" s="588" t="n">
        <v>0</v>
      </c>
      <c r="AA41" s="588" t="n">
        <v>0</v>
      </c>
      <c r="AB41" s="588" t="n">
        <v>0</v>
      </c>
      <c r="AC41" s="588" t="n">
        <v>0</v>
      </c>
      <c r="AD41" s="588" t="n">
        <v>0</v>
      </c>
      <c r="AE41" s="588" t="n"/>
      <c r="AF41" s="592" t="n"/>
      <c r="AH41" s="13" t="inlineStr">
        <is>
          <t>FG</t>
        </is>
      </c>
      <c r="AI41" s="55">
        <f>SUM($B41:B41)/1</f>
        <v/>
      </c>
      <c r="AJ41" s="55">
        <f>SUM($B41:C41)/2</f>
        <v/>
      </c>
      <c r="AK41" s="55">
        <f>SUM($B41:D41)/3</f>
        <v/>
      </c>
      <c r="AL41" s="55">
        <f>SUM($B41:E41)/4</f>
        <v/>
      </c>
      <c r="AM41" s="55">
        <f>SUM($B41:F41)/5</f>
        <v/>
      </c>
      <c r="AN41" s="55">
        <f>SUM($B41:G41)/6</f>
        <v/>
      </c>
      <c r="AO41" s="55">
        <f>SUM($B41:H41)/7</f>
        <v/>
      </c>
      <c r="AP41" s="55">
        <f>SUM($B41:I41)/8</f>
        <v/>
      </c>
      <c r="AQ41" s="55">
        <f>SUM($B41:J41)/9</f>
        <v/>
      </c>
      <c r="AR41" s="55">
        <f>SUM($B41:K41)/10</f>
        <v/>
      </c>
      <c r="AS41" s="55">
        <f>SUM($B41:L41)/11</f>
        <v/>
      </c>
      <c r="AT41" s="55">
        <f>SUM($B41:M41)/12</f>
        <v/>
      </c>
      <c r="AU41" s="55">
        <f>SUM($B41:N41)/13</f>
        <v/>
      </c>
      <c r="AV41" s="55">
        <f>SUM($B41:O41)/14</f>
        <v/>
      </c>
      <c r="AW41" s="55">
        <f>SUM($B41:P41)/15</f>
        <v/>
      </c>
      <c r="AX41" s="55">
        <f>SUM($B41:Q41)/16</f>
        <v/>
      </c>
      <c r="AY41" s="55">
        <f>SUM($B41:R41)/17</f>
        <v/>
      </c>
      <c r="AZ41" s="55">
        <f>SUM($B41:S41)/18</f>
        <v/>
      </c>
      <c r="BA41" s="55">
        <f>SUM($B41:T41)/19</f>
        <v/>
      </c>
      <c r="BB41" s="55">
        <f>SUM($B41:U41)/20</f>
        <v/>
      </c>
      <c r="BC41" s="55">
        <f>SUM($B41:V41)/21</f>
        <v/>
      </c>
      <c r="BD41" s="55">
        <f>SUM($B41:W41)/22</f>
        <v/>
      </c>
      <c r="BE41" s="55">
        <f>SUM($B41:X41)/23</f>
        <v/>
      </c>
      <c r="BF41" s="55">
        <f>SUM($B41:Y41)/24</f>
        <v/>
      </c>
      <c r="BG41" s="55">
        <f>SUM($B41:Z41)/25</f>
        <v/>
      </c>
      <c r="BH41" s="55">
        <f>SUM($B41:AA41)/26</f>
        <v/>
      </c>
      <c r="BI41" s="55">
        <f>SUM($B41:AB41)/27</f>
        <v/>
      </c>
      <c r="BJ41" s="55">
        <f>SUM($B41:AC41)/28</f>
        <v/>
      </c>
      <c r="BK41" s="55">
        <f>SUM($B41:AD41)/29</f>
        <v/>
      </c>
      <c r="BL41" s="55" t="n"/>
      <c r="BM41" s="55" t="n"/>
      <c r="BO41" s="13" t="inlineStr">
        <is>
          <t>FG</t>
        </is>
      </c>
      <c r="BP41" s="51">
        <f>(0.0+SUM($B41:B41))/(306+1)</f>
        <v/>
      </c>
      <c r="BQ41" s="51">
        <f>(0.0+SUM($B41:C41))/(306+2)</f>
        <v/>
      </c>
      <c r="BR41" s="51">
        <f>(0.0+SUM($B41:D41))/(306+3)</f>
        <v/>
      </c>
      <c r="BS41" s="51">
        <f>(0.0+SUM($B41:E41))/(306+4)</f>
        <v/>
      </c>
      <c r="BT41" s="51">
        <f>(0.0+SUM($B41:F41))/(306+5)</f>
        <v/>
      </c>
      <c r="BU41" s="51">
        <f>(0.0+SUM($B41:G41))/(306+6)</f>
        <v/>
      </c>
      <c r="BV41" s="51">
        <f>(0.0+SUM($B41:H41))/(306+7)</f>
        <v/>
      </c>
      <c r="BW41" s="51">
        <f>(0.0+SUM($B41:I41))/(306+8)</f>
        <v/>
      </c>
      <c r="BX41" s="51">
        <f>(0.0+SUM($B41:J41))/(306+9)</f>
        <v/>
      </c>
      <c r="BY41" s="51">
        <f>(0.0+SUM($B41:K41))/(306+10)</f>
        <v/>
      </c>
      <c r="BZ41" s="51">
        <f>(0.0+SUM($B41:L41))/(306+11)</f>
        <v/>
      </c>
      <c r="CA41" s="51">
        <f>(0.0+SUM($B41:M41))/(306+12)</f>
        <v/>
      </c>
      <c r="CB41" s="51">
        <f>(0.0+SUM($B41:N41))/(306+13)</f>
        <v/>
      </c>
      <c r="CC41" s="51">
        <f>(0.0+SUM($B41:O41))/(306+14)</f>
        <v/>
      </c>
      <c r="CD41" s="51">
        <f>(0.0+SUM($B41:P41))/(306+15)</f>
        <v/>
      </c>
      <c r="CE41" s="51">
        <f>(0.0+SUM($B41:Q41))/(306+16)</f>
        <v/>
      </c>
      <c r="CF41" s="51">
        <f>(0.0+SUM($B41:R41))/(306+17)</f>
        <v/>
      </c>
      <c r="CG41" s="51">
        <f>(0.0+SUM($B41:S41))/(306+18)</f>
        <v/>
      </c>
      <c r="CH41" s="51">
        <f>(0.0+SUM($B41:T41))/(306+19)</f>
        <v/>
      </c>
      <c r="CI41" s="51">
        <f>(0.0+SUM($B41:U41))/(306+20)</f>
        <v/>
      </c>
      <c r="CJ41" s="51">
        <f>(0.0+SUM($B41:V41))/(306+21)</f>
        <v/>
      </c>
      <c r="CK41" s="51">
        <f>(0.0+SUM($B41:W41))/(306+22)</f>
        <v/>
      </c>
      <c r="CL41" s="51">
        <f>(0.0+SUM($B41:X41))/(306+23)</f>
        <v/>
      </c>
      <c r="CM41" s="51">
        <f>(0.0+SUM($B41:Y41))/(306+24)</f>
        <v/>
      </c>
      <c r="CN41" s="51">
        <f>(0.0+SUM($B41:Z41))/(306+25)</f>
        <v/>
      </c>
      <c r="CO41" s="51">
        <f>(0.0+SUM($B41:AA41))/(306+26)</f>
        <v/>
      </c>
      <c r="CP41" s="51">
        <f>(0.0+SUM($B41:AB41))/(306+27)</f>
        <v/>
      </c>
      <c r="CQ41" s="51">
        <f>(0.0+SUM($B41:AC41))/(306+28)</f>
        <v/>
      </c>
      <c r="CR41" s="51">
        <f>(0.0+SUM($B41:AD41))/(306+29)</f>
        <v/>
      </c>
      <c r="CS41" s="51" t="n"/>
      <c r="CT41" s="50" t="n"/>
      <c r="CU41" s="23" t="n"/>
      <c r="CV41" s="23" t="n"/>
      <c r="CW41" s="23" t="n"/>
      <c r="CY41" s="13" t="inlineStr">
        <is>
          <t>FG</t>
        </is>
      </c>
      <c r="CZ41" s="51" t="n">
        <v>26.45528455284553</v>
      </c>
      <c r="DA41" s="51" t="n">
        <v>26.64516129032258</v>
      </c>
      <c r="DB41" s="51" t="n">
        <v>26.824</v>
      </c>
      <c r="DC41" s="51" t="n">
        <v>26.61111111111111</v>
      </c>
      <c r="DD41" s="51" t="n">
        <v>26.92125984251969</v>
      </c>
      <c r="DE41" s="51" t="n">
        <v>27.859375</v>
      </c>
      <c r="DF41" s="51" t="n">
        <v>28.29457364341085</v>
      </c>
      <c r="DG41" s="51" t="n">
        <v>29.04615384615385</v>
      </c>
      <c r="DH41" s="51" t="n">
        <v>29.14503816793893</v>
      </c>
      <c r="DI41" s="51" t="n">
        <v>28.96212121212121</v>
      </c>
      <c r="DJ41" s="51" t="n">
        <v>29.49624060150376</v>
      </c>
      <c r="DK41" s="51" t="n">
        <v>29.28358208955224</v>
      </c>
      <c r="DL41" s="51" t="n">
        <v>29.71851851851852</v>
      </c>
      <c r="DM41" s="51" t="n">
        <v>30.42647058823529</v>
      </c>
      <c r="DN41" s="51" t="n">
        <v>30.22627737226277</v>
      </c>
      <c r="DO41" s="51" t="n">
        <v>30.01449275362319</v>
      </c>
      <c r="DP41" s="51" t="n">
        <v>29.94964028776979</v>
      </c>
      <c r="DQ41" s="51" t="n">
        <v>30.21428571428572</v>
      </c>
      <c r="DR41" s="51" t="n">
        <v>30.29787234042553</v>
      </c>
      <c r="DS41" s="51" t="n">
        <v>30.3943661971831</v>
      </c>
      <c r="DT41" s="51" t="n">
        <v>30.59440559440559</v>
      </c>
      <c r="DU41" s="51" t="n">
        <v>30.67361111111111</v>
      </c>
      <c r="DV41" s="51" t="n">
        <v>30.48275862068965</v>
      </c>
      <c r="DW41" s="51" t="n">
        <v>30.56164383561644</v>
      </c>
      <c r="DX41" s="51" t="n">
        <v>30.95238095238095</v>
      </c>
      <c r="DY41" s="51" t="n">
        <v>31.37162162162162</v>
      </c>
      <c r="DZ41" s="51" t="n">
        <v>31.18791946308725</v>
      </c>
      <c r="EA41" s="51" t="n">
        <v>31.54</v>
      </c>
      <c r="EB41" s="51" t="n">
        <v>32.17880794701987</v>
      </c>
      <c r="EC41" s="51" t="n">
        <v>31.97368421052632</v>
      </c>
      <c r="ED41" s="50" t="n">
        <v>32.03921568627451</v>
      </c>
    </row>
    <row r="42" ht="16.5" customHeight="1" thickBot="1">
      <c r="A42" s="13" t="inlineStr">
        <is>
          <t>CHEM</t>
        </is>
      </c>
      <c r="B42" s="588" t="n">
        <v>0</v>
      </c>
      <c r="C42" s="588" t="n">
        <v>0</v>
      </c>
      <c r="D42" s="588" t="n">
        <v>0</v>
      </c>
      <c r="E42" s="588" t="n">
        <v>0</v>
      </c>
      <c r="F42" s="588" t="n">
        <v>0</v>
      </c>
      <c r="G42" s="588" t="n">
        <v>0</v>
      </c>
      <c r="H42" s="588" t="n">
        <v>0</v>
      </c>
      <c r="I42" s="588" t="n">
        <v>0</v>
      </c>
      <c r="J42" s="588" t="n">
        <v>0</v>
      </c>
      <c r="K42" s="588" t="n">
        <v>0</v>
      </c>
      <c r="L42" s="588" t="n">
        <v>0</v>
      </c>
      <c r="M42" s="588" t="n">
        <v>0</v>
      </c>
      <c r="N42" s="588" t="n">
        <v>0</v>
      </c>
      <c r="O42" s="588" t="n">
        <v>0</v>
      </c>
      <c r="P42" s="588" t="n">
        <v>0</v>
      </c>
      <c r="Q42" s="588" t="n">
        <v>0</v>
      </c>
      <c r="R42" s="588" t="n">
        <v>0</v>
      </c>
      <c r="S42" s="588" t="n">
        <v>0</v>
      </c>
      <c r="T42" s="588" t="n">
        <v>0</v>
      </c>
      <c r="U42" s="588" t="n">
        <v>0</v>
      </c>
      <c r="V42" s="588" t="n">
        <v>0</v>
      </c>
      <c r="W42" s="588" t="n">
        <v>0</v>
      </c>
      <c r="X42" s="588" t="n">
        <v>0</v>
      </c>
      <c r="Y42" s="588" t="n">
        <v>0</v>
      </c>
      <c r="Z42" s="588" t="n">
        <v>0</v>
      </c>
      <c r="AA42" s="588" t="n">
        <v>0</v>
      </c>
      <c r="AB42" s="588" t="n">
        <v>0</v>
      </c>
      <c r="AC42" s="588" t="n">
        <v>0</v>
      </c>
      <c r="AD42" s="588" t="n">
        <v>0</v>
      </c>
      <c r="AE42" s="588" t="n"/>
      <c r="AF42" s="592" t="n"/>
      <c r="AH42" s="13" t="inlineStr">
        <is>
          <t>CHEM</t>
        </is>
      </c>
      <c r="AI42" s="55">
        <f>SUM($B42:B42)/1</f>
        <v/>
      </c>
      <c r="AJ42" s="55">
        <f>SUM($B42:C42)/2</f>
        <v/>
      </c>
      <c r="AK42" s="55">
        <f>SUM($B42:D42)/3</f>
        <v/>
      </c>
      <c r="AL42" s="55">
        <f>SUM($B42:E42)/4</f>
        <v/>
      </c>
      <c r="AM42" s="55">
        <f>SUM($B42:F42)/5</f>
        <v/>
      </c>
      <c r="AN42" s="55">
        <f>SUM($B42:G42)/6</f>
        <v/>
      </c>
      <c r="AO42" s="55">
        <f>SUM($B42:H42)/7</f>
        <v/>
      </c>
      <c r="AP42" s="55">
        <f>SUM($B42:I42)/8</f>
        <v/>
      </c>
      <c r="AQ42" s="55">
        <f>SUM($B42:J42)/9</f>
        <v/>
      </c>
      <c r="AR42" s="55">
        <f>SUM($B42:K42)/10</f>
        <v/>
      </c>
      <c r="AS42" s="55">
        <f>SUM($B42:L42)/11</f>
        <v/>
      </c>
      <c r="AT42" s="55">
        <f>SUM($B42:M42)/12</f>
        <v/>
      </c>
      <c r="AU42" s="55">
        <f>SUM($B42:N42)/13</f>
        <v/>
      </c>
      <c r="AV42" s="55">
        <f>SUM($B42:O42)/14</f>
        <v/>
      </c>
      <c r="AW42" s="55">
        <f>SUM($B42:P42)/15</f>
        <v/>
      </c>
      <c r="AX42" s="55">
        <f>SUM($B42:Q42)/16</f>
        <v/>
      </c>
      <c r="AY42" s="55">
        <f>SUM($B42:R42)/17</f>
        <v/>
      </c>
      <c r="AZ42" s="55">
        <f>SUM($B42:S42)/18</f>
        <v/>
      </c>
      <c r="BA42" s="55">
        <f>SUM($B42:T42)/19</f>
        <v/>
      </c>
      <c r="BB42" s="55">
        <f>SUM($B42:U42)/20</f>
        <v/>
      </c>
      <c r="BC42" s="55">
        <f>SUM($B42:V42)/21</f>
        <v/>
      </c>
      <c r="BD42" s="55">
        <f>SUM($B42:W42)/22</f>
        <v/>
      </c>
      <c r="BE42" s="55">
        <f>SUM($B42:X42)/23</f>
        <v/>
      </c>
      <c r="BF42" s="55">
        <f>SUM($B42:Y42)/24</f>
        <v/>
      </c>
      <c r="BG42" s="55">
        <f>SUM($B42:Z42)/25</f>
        <v/>
      </c>
      <c r="BH42" s="55">
        <f>SUM($B42:AA42)/26</f>
        <v/>
      </c>
      <c r="BI42" s="55">
        <f>SUM($B42:AB42)/27</f>
        <v/>
      </c>
      <c r="BJ42" s="55">
        <f>SUM($B42:AC42)/28</f>
        <v/>
      </c>
      <c r="BK42" s="55">
        <f>SUM($B42:AD42)/29</f>
        <v/>
      </c>
      <c r="BL42" s="55" t="n"/>
      <c r="BM42" s="55" t="n"/>
      <c r="BO42" s="13" t="inlineStr">
        <is>
          <t>CHEM</t>
        </is>
      </c>
      <c r="BP42" s="51">
        <f>(0.0+SUM($B42:B42))/(306+1)</f>
        <v/>
      </c>
      <c r="BQ42" s="51">
        <f>(0.0+SUM($B42:C42))/(306+2)</f>
        <v/>
      </c>
      <c r="BR42" s="51">
        <f>(0.0+SUM($B42:D42))/(306+3)</f>
        <v/>
      </c>
      <c r="BS42" s="51">
        <f>(0.0+SUM($B42:E42))/(306+4)</f>
        <v/>
      </c>
      <c r="BT42" s="51">
        <f>(0.0+SUM($B42:F42))/(306+5)</f>
        <v/>
      </c>
      <c r="BU42" s="51">
        <f>(0.0+SUM($B42:G42))/(306+6)</f>
        <v/>
      </c>
      <c r="BV42" s="51">
        <f>(0.0+SUM($B42:H42))/(306+7)</f>
        <v/>
      </c>
      <c r="BW42" s="51">
        <f>(0.0+SUM($B42:I42))/(306+8)</f>
        <v/>
      </c>
      <c r="BX42" s="51">
        <f>(0.0+SUM($B42:J42))/(306+9)</f>
        <v/>
      </c>
      <c r="BY42" s="51">
        <f>(0.0+SUM($B42:K42))/(306+10)</f>
        <v/>
      </c>
      <c r="BZ42" s="51">
        <f>(0.0+SUM($B42:L42))/(306+11)</f>
        <v/>
      </c>
      <c r="CA42" s="51">
        <f>(0.0+SUM($B42:M42))/(306+12)</f>
        <v/>
      </c>
      <c r="CB42" s="51">
        <f>(0.0+SUM($B42:N42))/(306+13)</f>
        <v/>
      </c>
      <c r="CC42" s="51">
        <f>(0.0+SUM($B42:O42))/(306+14)</f>
        <v/>
      </c>
      <c r="CD42" s="51">
        <f>(0.0+SUM($B42:P42))/(306+15)</f>
        <v/>
      </c>
      <c r="CE42" s="51">
        <f>(0.0+SUM($B42:Q42))/(306+16)</f>
        <v/>
      </c>
      <c r="CF42" s="51">
        <f>(0.0+SUM($B42:R42))/(306+17)</f>
        <v/>
      </c>
      <c r="CG42" s="51">
        <f>(0.0+SUM($B42:S42))/(306+18)</f>
        <v/>
      </c>
      <c r="CH42" s="51">
        <f>(0.0+SUM($B42:T42))/(306+19)</f>
        <v/>
      </c>
      <c r="CI42" s="51">
        <f>(0.0+SUM($B42:U42))/(306+20)</f>
        <v/>
      </c>
      <c r="CJ42" s="51">
        <f>(0.0+SUM($B42:V42))/(306+21)</f>
        <v/>
      </c>
      <c r="CK42" s="51">
        <f>(0.0+SUM($B42:W42))/(306+22)</f>
        <v/>
      </c>
      <c r="CL42" s="51">
        <f>(0.0+SUM($B42:X42))/(306+23)</f>
        <v/>
      </c>
      <c r="CM42" s="51">
        <f>(0.0+SUM($B42:Y42))/(306+24)</f>
        <v/>
      </c>
      <c r="CN42" s="51">
        <f>(0.0+SUM($B42:Z42))/(306+25)</f>
        <v/>
      </c>
      <c r="CO42" s="51">
        <f>(0.0+SUM($B42:AA42))/(306+26)</f>
        <v/>
      </c>
      <c r="CP42" s="51">
        <f>(0.0+SUM($B42:AB42))/(306+27)</f>
        <v/>
      </c>
      <c r="CQ42" s="51">
        <f>(0.0+SUM($B42:AC42))/(306+28)</f>
        <v/>
      </c>
      <c r="CR42" s="51">
        <f>(0.0+SUM($B42:AD42))/(306+29)</f>
        <v/>
      </c>
      <c r="CS42" s="51" t="n"/>
      <c r="CT42" s="50" t="n"/>
      <c r="CU42" s="23" t="n"/>
      <c r="CV42" s="23" t="n"/>
      <c r="CW42" s="23" t="n"/>
      <c r="CY42" s="13" t="inlineStr">
        <is>
          <t>CHEM</t>
        </is>
      </c>
      <c r="CZ42" s="51" t="n">
        <v>22.07317073170732</v>
      </c>
      <c r="DA42" s="51" t="n">
        <v>21.89516129032258</v>
      </c>
      <c r="DB42" s="51" t="n">
        <v>22.264</v>
      </c>
      <c r="DC42" s="51" t="n">
        <v>22.08730158730159</v>
      </c>
      <c r="DD42" s="51" t="n">
        <v>22.48818897637795</v>
      </c>
      <c r="DE42" s="51" t="n">
        <v>22.328125</v>
      </c>
      <c r="DF42" s="51" t="n">
        <v>22.18604651162791</v>
      </c>
      <c r="DG42" s="51" t="n">
        <v>22.25384615384615</v>
      </c>
      <c r="DH42" s="51" t="n">
        <v>22.08396946564886</v>
      </c>
      <c r="DI42" s="51" t="n">
        <v>21.91666666666667</v>
      </c>
      <c r="DJ42" s="51" t="n">
        <v>22.2781954887218</v>
      </c>
      <c r="DK42" s="51" t="n">
        <v>22.14179104477612</v>
      </c>
      <c r="DL42" s="51" t="n">
        <v>22.13333333333333</v>
      </c>
      <c r="DM42" s="51" t="n">
        <v>22.70588235294118</v>
      </c>
      <c r="DN42" s="51" t="n">
        <v>23.08759124087591</v>
      </c>
      <c r="DO42" s="51" t="n">
        <v>22.92028985507246</v>
      </c>
      <c r="DP42" s="51" t="n">
        <v>23.10791366906475</v>
      </c>
      <c r="DQ42" s="51" t="n">
        <v>23.00714285714286</v>
      </c>
      <c r="DR42" s="51" t="n">
        <v>22.87943262411348</v>
      </c>
      <c r="DS42" s="51" t="n">
        <v>22.75352112676056</v>
      </c>
      <c r="DT42" s="51" t="n">
        <v>22.6993006993007</v>
      </c>
      <c r="DU42" s="51" t="n">
        <v>22.75</v>
      </c>
      <c r="DV42" s="51" t="n">
        <v>23.02068965517241</v>
      </c>
      <c r="DW42" s="51" t="n">
        <v>23.06849315068493</v>
      </c>
      <c r="DX42" s="51" t="n">
        <v>22.95238095238095</v>
      </c>
      <c r="DY42" s="51" t="n">
        <v>22.90540540540541</v>
      </c>
      <c r="DZ42" s="51" t="n">
        <v>22.87919463087248</v>
      </c>
      <c r="EA42" s="51" t="n">
        <v>22.72666666666667</v>
      </c>
      <c r="EB42" s="51" t="n">
        <v>22.98675496688742</v>
      </c>
      <c r="EC42" s="51" t="n">
        <v>22.97368421052632</v>
      </c>
      <c r="ED42" s="50" t="n">
        <v>22.89542483660131</v>
      </c>
    </row>
    <row r="43" ht="16.5" customHeight="1" thickBot="1">
      <c r="A43" s="13" t="inlineStr">
        <is>
          <t>AUTO</t>
        </is>
      </c>
      <c r="B43" s="588" t="n">
        <v>0</v>
      </c>
      <c r="C43" s="588" t="n">
        <v>0</v>
      </c>
      <c r="D43" s="588" t="n">
        <v>0</v>
      </c>
      <c r="E43" s="588" t="n">
        <v>0</v>
      </c>
      <c r="F43" s="588" t="n">
        <v>0</v>
      </c>
      <c r="G43" s="588" t="n">
        <v>0</v>
      </c>
      <c r="H43" s="588" t="n">
        <v>0</v>
      </c>
      <c r="I43" s="588" t="n">
        <v>0</v>
      </c>
      <c r="J43" s="588" t="n">
        <v>0</v>
      </c>
      <c r="K43" s="588" t="n">
        <v>0</v>
      </c>
      <c r="L43" s="588" t="n">
        <v>0</v>
      </c>
      <c r="M43" s="588" t="n">
        <v>0</v>
      </c>
      <c r="N43" s="588" t="n">
        <v>0</v>
      </c>
      <c r="O43" s="588" t="n">
        <v>0</v>
      </c>
      <c r="P43" s="588" t="n">
        <v>0</v>
      </c>
      <c r="Q43" s="588" t="n">
        <v>0</v>
      </c>
      <c r="R43" s="588" t="n">
        <v>0</v>
      </c>
      <c r="S43" s="588" t="n">
        <v>0</v>
      </c>
      <c r="T43" s="588" t="n">
        <v>0</v>
      </c>
      <c r="U43" s="588" t="n">
        <v>0</v>
      </c>
      <c r="V43" s="588" t="n">
        <v>0</v>
      </c>
      <c r="W43" s="588" t="n">
        <v>0</v>
      </c>
      <c r="X43" s="588" t="n">
        <v>0</v>
      </c>
      <c r="Y43" s="588" t="n">
        <v>0</v>
      </c>
      <c r="Z43" s="588" t="n">
        <v>0</v>
      </c>
      <c r="AA43" s="588" t="n">
        <v>0</v>
      </c>
      <c r="AB43" s="588" t="n">
        <v>0</v>
      </c>
      <c r="AC43" s="588" t="n">
        <v>0</v>
      </c>
      <c r="AD43" s="588" t="n">
        <v>0</v>
      </c>
      <c r="AE43" s="588" t="n"/>
      <c r="AF43" s="592" t="n"/>
      <c r="AH43" s="13" t="inlineStr">
        <is>
          <t>AUTO</t>
        </is>
      </c>
      <c r="AI43" s="55">
        <f>SUM($B43:B43)/1</f>
        <v/>
      </c>
      <c r="AJ43" s="55">
        <f>SUM($B43:C43)/2</f>
        <v/>
      </c>
      <c r="AK43" s="55">
        <f>SUM($B43:D43)/3</f>
        <v/>
      </c>
      <c r="AL43" s="55">
        <f>SUM($B43:E43)/4</f>
        <v/>
      </c>
      <c r="AM43" s="55">
        <f>SUM($B43:F43)/5</f>
        <v/>
      </c>
      <c r="AN43" s="55">
        <f>SUM($B43:G43)/6</f>
        <v/>
      </c>
      <c r="AO43" s="55">
        <f>SUM($B43:H43)/7</f>
        <v/>
      </c>
      <c r="AP43" s="55">
        <f>SUM($B43:I43)/8</f>
        <v/>
      </c>
      <c r="AQ43" s="55">
        <f>SUM($B43:J43)/9</f>
        <v/>
      </c>
      <c r="AR43" s="55">
        <f>SUM($B43:K43)/10</f>
        <v/>
      </c>
      <c r="AS43" s="55">
        <f>SUM($B43:L43)/11</f>
        <v/>
      </c>
      <c r="AT43" s="55">
        <f>SUM($B43:M43)/12</f>
        <v/>
      </c>
      <c r="AU43" s="55">
        <f>SUM($B43:N43)/13</f>
        <v/>
      </c>
      <c r="AV43" s="55">
        <f>SUM($B43:O43)/14</f>
        <v/>
      </c>
      <c r="AW43" s="55">
        <f>SUM($B43:P43)/15</f>
        <v/>
      </c>
      <c r="AX43" s="55">
        <f>SUM($B43:Q43)/16</f>
        <v/>
      </c>
      <c r="AY43" s="55">
        <f>SUM($B43:R43)/17</f>
        <v/>
      </c>
      <c r="AZ43" s="55">
        <f>SUM($B43:S43)/18</f>
        <v/>
      </c>
      <c r="BA43" s="55">
        <f>SUM($B43:T43)/19</f>
        <v/>
      </c>
      <c r="BB43" s="55">
        <f>SUM($B43:U43)/20</f>
        <v/>
      </c>
      <c r="BC43" s="55">
        <f>SUM($B43:V43)/21</f>
        <v/>
      </c>
      <c r="BD43" s="55">
        <f>SUM($B43:W43)/22</f>
        <v/>
      </c>
      <c r="BE43" s="55">
        <f>SUM($B43:X43)/23</f>
        <v/>
      </c>
      <c r="BF43" s="55">
        <f>SUM($B43:Y43)/24</f>
        <v/>
      </c>
      <c r="BG43" s="55">
        <f>SUM($B43:Z43)/25</f>
        <v/>
      </c>
      <c r="BH43" s="55">
        <f>SUM($B43:AA43)/26</f>
        <v/>
      </c>
      <c r="BI43" s="55">
        <f>SUM($B43:AB43)/27</f>
        <v/>
      </c>
      <c r="BJ43" s="55">
        <f>SUM($B43:AC43)/28</f>
        <v/>
      </c>
      <c r="BK43" s="55">
        <f>SUM($B43:AD43)/29</f>
        <v/>
      </c>
      <c r="BL43" s="55" t="n"/>
      <c r="BM43" s="55" t="n"/>
      <c r="BO43" s="13" t="inlineStr">
        <is>
          <t>AUTO</t>
        </is>
      </c>
      <c r="BP43" s="51">
        <f>(0.0+SUM($B43:B43))/(306+1)</f>
        <v/>
      </c>
      <c r="BQ43" s="51">
        <f>(0.0+SUM($B43:C43))/(306+2)</f>
        <v/>
      </c>
      <c r="BR43" s="51">
        <f>(0.0+SUM($B43:D43))/(306+3)</f>
        <v/>
      </c>
      <c r="BS43" s="51">
        <f>(0.0+SUM($B43:E43))/(306+4)</f>
        <v/>
      </c>
      <c r="BT43" s="51">
        <f>(0.0+SUM($B43:F43))/(306+5)</f>
        <v/>
      </c>
      <c r="BU43" s="51">
        <f>(0.0+SUM($B43:G43))/(306+6)</f>
        <v/>
      </c>
      <c r="BV43" s="51">
        <f>(0.0+SUM($B43:H43))/(306+7)</f>
        <v/>
      </c>
      <c r="BW43" s="51">
        <f>(0.0+SUM($B43:I43))/(306+8)</f>
        <v/>
      </c>
      <c r="BX43" s="51">
        <f>(0.0+SUM($B43:J43))/(306+9)</f>
        <v/>
      </c>
      <c r="BY43" s="51">
        <f>(0.0+SUM($B43:K43))/(306+10)</f>
        <v/>
      </c>
      <c r="BZ43" s="51">
        <f>(0.0+SUM($B43:L43))/(306+11)</f>
        <v/>
      </c>
      <c r="CA43" s="51">
        <f>(0.0+SUM($B43:M43))/(306+12)</f>
        <v/>
      </c>
      <c r="CB43" s="51">
        <f>(0.0+SUM($B43:N43))/(306+13)</f>
        <v/>
      </c>
      <c r="CC43" s="51">
        <f>(0.0+SUM($B43:O43))/(306+14)</f>
        <v/>
      </c>
      <c r="CD43" s="51">
        <f>(0.0+SUM($B43:P43))/(306+15)</f>
        <v/>
      </c>
      <c r="CE43" s="51">
        <f>(0.0+SUM($B43:Q43))/(306+16)</f>
        <v/>
      </c>
      <c r="CF43" s="51">
        <f>(0.0+SUM($B43:R43))/(306+17)</f>
        <v/>
      </c>
      <c r="CG43" s="51">
        <f>(0.0+SUM($B43:S43))/(306+18)</f>
        <v/>
      </c>
      <c r="CH43" s="51">
        <f>(0.0+SUM($B43:T43))/(306+19)</f>
        <v/>
      </c>
      <c r="CI43" s="51">
        <f>(0.0+SUM($B43:U43))/(306+20)</f>
        <v/>
      </c>
      <c r="CJ43" s="51">
        <f>(0.0+SUM($B43:V43))/(306+21)</f>
        <v/>
      </c>
      <c r="CK43" s="51">
        <f>(0.0+SUM($B43:W43))/(306+22)</f>
        <v/>
      </c>
      <c r="CL43" s="51">
        <f>(0.0+SUM($B43:X43))/(306+23)</f>
        <v/>
      </c>
      <c r="CM43" s="51">
        <f>(0.0+SUM($B43:Y43))/(306+24)</f>
        <v/>
      </c>
      <c r="CN43" s="51">
        <f>(0.0+SUM($B43:Z43))/(306+25)</f>
        <v/>
      </c>
      <c r="CO43" s="51">
        <f>(0.0+SUM($B43:AA43))/(306+26)</f>
        <v/>
      </c>
      <c r="CP43" s="51">
        <f>(0.0+SUM($B43:AB43))/(306+27)</f>
        <v/>
      </c>
      <c r="CQ43" s="51">
        <f>(0.0+SUM($B43:AC43))/(306+28)</f>
        <v/>
      </c>
      <c r="CR43" s="51">
        <f>(0.0+SUM($B43:AD43))/(306+29)</f>
        <v/>
      </c>
      <c r="CS43" s="51" t="n"/>
      <c r="CT43" s="50" t="n"/>
      <c r="CU43" s="23" t="n"/>
      <c r="CV43" s="23" t="n"/>
      <c r="CW43" s="23" t="n"/>
      <c r="CY43" s="13" t="inlineStr">
        <is>
          <t>AUTO</t>
        </is>
      </c>
      <c r="CZ43" s="51" t="n">
        <v>125.3577235772358</v>
      </c>
      <c r="DA43" s="51" t="n">
        <v>125.5806451612903</v>
      </c>
      <c r="DB43" s="51" t="n">
        <v>125.376</v>
      </c>
      <c r="DC43" s="51" t="n">
        <v>124.7777777777778</v>
      </c>
      <c r="DD43" s="51" t="n">
        <v>124.5984251968504</v>
      </c>
      <c r="DE43" s="51" t="n">
        <v>124.6328125</v>
      </c>
      <c r="DF43" s="51" t="n">
        <v>124.8294573643411</v>
      </c>
      <c r="DG43" s="51" t="n">
        <v>124.8538461538461</v>
      </c>
      <c r="DH43" s="51" t="n">
        <v>124.8778625954198</v>
      </c>
      <c r="DI43" s="51" t="n">
        <v>124.8712121212121</v>
      </c>
      <c r="DJ43" s="51" t="n">
        <v>124.4887218045113</v>
      </c>
      <c r="DK43" s="51" t="n">
        <v>124.6940298507463</v>
      </c>
      <c r="DL43" s="51" t="n">
        <v>124.5259259259259</v>
      </c>
      <c r="DM43" s="51" t="n">
        <v>124.7573529411765</v>
      </c>
      <c r="DN43" s="51" t="n">
        <v>125.1313868613139</v>
      </c>
      <c r="DO43" s="51" t="n">
        <v>124.7826086956522</v>
      </c>
      <c r="DP43" s="51" t="n">
        <v>124.9928057553957</v>
      </c>
      <c r="DQ43" s="51" t="n">
        <v>124.65</v>
      </c>
      <c r="DR43" s="51" t="n">
        <v>125.0283687943262</v>
      </c>
      <c r="DS43" s="51" t="n">
        <v>125.2323943661972</v>
      </c>
      <c r="DT43" s="51" t="n">
        <v>125.5874125874126</v>
      </c>
      <c r="DU43" s="51" t="n">
        <v>125.9583333333333</v>
      </c>
      <c r="DV43" s="51" t="n">
        <v>126.3241379310345</v>
      </c>
      <c r="DW43" s="51" t="n">
        <v>126.8561643835616</v>
      </c>
      <c r="DX43" s="51" t="n">
        <v>126.8707482993197</v>
      </c>
      <c r="DY43" s="51" t="n">
        <v>127.222972972973</v>
      </c>
      <c r="DZ43" s="51" t="n">
        <v>127.3758389261745</v>
      </c>
      <c r="EA43" s="51" t="n">
        <v>127.0266666666667</v>
      </c>
      <c r="EB43" s="51" t="n">
        <v>126.887417218543</v>
      </c>
      <c r="EC43" s="51" t="n">
        <v>127.0526315789474</v>
      </c>
      <c r="ED43" s="50" t="n">
        <v>127.6993464052288</v>
      </c>
    </row>
    <row r="44" ht="16.5" customHeight="1" thickBot="1">
      <c r="A44" s="19" t="inlineStr">
        <is>
          <t>OTHERS</t>
        </is>
      </c>
      <c r="B44" s="607" t="n">
        <v>0</v>
      </c>
      <c r="C44" s="607" t="n">
        <v>0</v>
      </c>
      <c r="D44" s="607" t="n">
        <v>0</v>
      </c>
      <c r="E44" s="607" t="n">
        <v>0</v>
      </c>
      <c r="F44" s="607" t="n">
        <v>0</v>
      </c>
      <c r="G44" s="607" t="n">
        <v>0</v>
      </c>
      <c r="H44" s="607" t="n">
        <v>0</v>
      </c>
      <c r="I44" s="607" t="n">
        <v>0</v>
      </c>
      <c r="J44" s="607" t="n">
        <v>0</v>
      </c>
      <c r="K44" s="607" t="n">
        <v>0</v>
      </c>
      <c r="L44" s="607" t="n">
        <v>0</v>
      </c>
      <c r="M44" s="607" t="n">
        <v>0</v>
      </c>
      <c r="N44" s="607" t="n">
        <v>0</v>
      </c>
      <c r="O44" s="607" t="n">
        <v>0</v>
      </c>
      <c r="P44" s="607" t="n">
        <v>0</v>
      </c>
      <c r="Q44" s="607" t="n">
        <v>0</v>
      </c>
      <c r="R44" s="607" t="n">
        <v>0</v>
      </c>
      <c r="S44" s="607" t="n">
        <v>0</v>
      </c>
      <c r="T44" s="607" t="n">
        <v>0</v>
      </c>
      <c r="U44" s="607" t="n">
        <v>0</v>
      </c>
      <c r="V44" s="607" t="n">
        <v>0</v>
      </c>
      <c r="W44" s="607" t="n">
        <v>0</v>
      </c>
      <c r="X44" s="607" t="n">
        <v>0</v>
      </c>
      <c r="Y44" s="607" t="n">
        <v>0</v>
      </c>
      <c r="Z44" s="607" t="n">
        <v>0</v>
      </c>
      <c r="AA44" s="607" t="n">
        <v>0</v>
      </c>
      <c r="AB44" s="607" t="n">
        <v>0</v>
      </c>
      <c r="AC44" s="607" t="n">
        <v>0</v>
      </c>
      <c r="AD44" s="607" t="n">
        <v>0</v>
      </c>
      <c r="AE44" s="607" t="n"/>
      <c r="AF44" s="608" t="n"/>
      <c r="AH44" s="19" t="inlineStr">
        <is>
          <t>OTHERS</t>
        </is>
      </c>
      <c r="AI44" s="55">
        <f>SUM($B44:B44)/1</f>
        <v/>
      </c>
      <c r="AJ44" s="55">
        <f>SUM($B44:C44)/2</f>
        <v/>
      </c>
      <c r="AK44" s="55">
        <f>SUM($B44:D44)/3</f>
        <v/>
      </c>
      <c r="AL44" s="55">
        <f>SUM($B44:E44)/4</f>
        <v/>
      </c>
      <c r="AM44" s="55">
        <f>SUM($B44:F44)/5</f>
        <v/>
      </c>
      <c r="AN44" s="55">
        <f>SUM($B44:G44)/6</f>
        <v/>
      </c>
      <c r="AO44" s="55">
        <f>SUM($B44:H44)/7</f>
        <v/>
      </c>
      <c r="AP44" s="55">
        <f>SUM($B44:I44)/8</f>
        <v/>
      </c>
      <c r="AQ44" s="55">
        <f>SUM($B44:J44)/9</f>
        <v/>
      </c>
      <c r="AR44" s="55">
        <f>SUM($B44:K44)/10</f>
        <v/>
      </c>
      <c r="AS44" s="55">
        <f>SUM($B44:L44)/11</f>
        <v/>
      </c>
      <c r="AT44" s="55">
        <f>SUM($B44:M44)/12</f>
        <v/>
      </c>
      <c r="AU44" s="55">
        <f>SUM($B44:N44)/13</f>
        <v/>
      </c>
      <c r="AV44" s="55">
        <f>SUM($B44:O44)/14</f>
        <v/>
      </c>
      <c r="AW44" s="55">
        <f>SUM($B44:P44)/15</f>
        <v/>
      </c>
      <c r="AX44" s="55">
        <f>SUM($B44:Q44)/16</f>
        <v/>
      </c>
      <c r="AY44" s="55">
        <f>SUM($B44:R44)/17</f>
        <v/>
      </c>
      <c r="AZ44" s="55">
        <f>SUM($B44:S44)/18</f>
        <v/>
      </c>
      <c r="BA44" s="55">
        <f>SUM($B44:T44)/19</f>
        <v/>
      </c>
      <c r="BB44" s="55">
        <f>SUM($B44:U44)/20</f>
        <v/>
      </c>
      <c r="BC44" s="55">
        <f>SUM($B44:V44)/21</f>
        <v/>
      </c>
      <c r="BD44" s="55">
        <f>SUM($B44:W44)/22</f>
        <v/>
      </c>
      <c r="BE44" s="55">
        <f>SUM($B44:X44)/23</f>
        <v/>
      </c>
      <c r="BF44" s="55">
        <f>SUM($B44:Y44)/24</f>
        <v/>
      </c>
      <c r="BG44" s="55">
        <f>SUM($B44:Z44)/25</f>
        <v/>
      </c>
      <c r="BH44" s="55">
        <f>SUM($B44:AA44)/26</f>
        <v/>
      </c>
      <c r="BI44" s="55">
        <f>SUM($B44:AB44)/27</f>
        <v/>
      </c>
      <c r="BJ44" s="55">
        <f>SUM($B44:AC44)/28</f>
        <v/>
      </c>
      <c r="BK44" s="55">
        <f>SUM($B44:AD44)/29</f>
        <v/>
      </c>
      <c r="BL44" s="55" t="n"/>
      <c r="BM44" s="55" t="n"/>
      <c r="BO44" s="19" t="inlineStr">
        <is>
          <t>OTHERS</t>
        </is>
      </c>
      <c r="BP44" s="51">
        <f>(0.0+SUM($B44:B44))/(306+1)</f>
        <v/>
      </c>
      <c r="BQ44" s="51">
        <f>(0.0+SUM($B44:C44))/(306+2)</f>
        <v/>
      </c>
      <c r="BR44" s="51">
        <f>(0.0+SUM($B44:D44))/(306+3)</f>
        <v/>
      </c>
      <c r="BS44" s="51">
        <f>(0.0+SUM($B44:E44))/(306+4)</f>
        <v/>
      </c>
      <c r="BT44" s="51">
        <f>(0.0+SUM($B44:F44))/(306+5)</f>
        <v/>
      </c>
      <c r="BU44" s="51">
        <f>(0.0+SUM($B44:G44))/(306+6)</f>
        <v/>
      </c>
      <c r="BV44" s="51">
        <f>(0.0+SUM($B44:H44))/(306+7)</f>
        <v/>
      </c>
      <c r="BW44" s="51">
        <f>(0.0+SUM($B44:I44))/(306+8)</f>
        <v/>
      </c>
      <c r="BX44" s="51">
        <f>(0.0+SUM($B44:J44))/(306+9)</f>
        <v/>
      </c>
      <c r="BY44" s="51">
        <f>(0.0+SUM($B44:K44))/(306+10)</f>
        <v/>
      </c>
      <c r="BZ44" s="51">
        <f>(0.0+SUM($B44:L44))/(306+11)</f>
        <v/>
      </c>
      <c r="CA44" s="51">
        <f>(0.0+SUM($B44:M44))/(306+12)</f>
        <v/>
      </c>
      <c r="CB44" s="51">
        <f>(0.0+SUM($B44:N44))/(306+13)</f>
        <v/>
      </c>
      <c r="CC44" s="51">
        <f>(0.0+SUM($B44:O44))/(306+14)</f>
        <v/>
      </c>
      <c r="CD44" s="51">
        <f>(0.0+SUM($B44:P44))/(306+15)</f>
        <v/>
      </c>
      <c r="CE44" s="51">
        <f>(0.0+SUM($B44:Q44))/(306+16)</f>
        <v/>
      </c>
      <c r="CF44" s="51">
        <f>(0.0+SUM($B44:R44))/(306+17)</f>
        <v/>
      </c>
      <c r="CG44" s="51">
        <f>(0.0+SUM($B44:S44))/(306+18)</f>
        <v/>
      </c>
      <c r="CH44" s="51">
        <f>(0.0+SUM($B44:T44))/(306+19)</f>
        <v/>
      </c>
      <c r="CI44" s="51">
        <f>(0.0+SUM($B44:U44))/(306+20)</f>
        <v/>
      </c>
      <c r="CJ44" s="51">
        <f>(0.0+SUM($B44:V44))/(306+21)</f>
        <v/>
      </c>
      <c r="CK44" s="51">
        <f>(0.0+SUM($B44:W44))/(306+22)</f>
        <v/>
      </c>
      <c r="CL44" s="51">
        <f>(0.0+SUM($B44:X44))/(306+23)</f>
        <v/>
      </c>
      <c r="CM44" s="51">
        <f>(0.0+SUM($B44:Y44))/(306+24)</f>
        <v/>
      </c>
      <c r="CN44" s="51">
        <f>(0.0+SUM($B44:Z44))/(306+25)</f>
        <v/>
      </c>
      <c r="CO44" s="51">
        <f>(0.0+SUM($B44:AA44))/(306+26)</f>
        <v/>
      </c>
      <c r="CP44" s="51">
        <f>(0.0+SUM($B44:AB44))/(306+27)</f>
        <v/>
      </c>
      <c r="CQ44" s="51">
        <f>(0.0+SUM($B44:AC44))/(306+28)</f>
        <v/>
      </c>
      <c r="CR44" s="51">
        <f>(0.0+SUM($B44:AD44))/(306+29)</f>
        <v/>
      </c>
      <c r="CS44" s="51" t="n"/>
      <c r="CT44" s="50" t="n"/>
      <c r="CU44" s="23" t="n"/>
      <c r="CV44" s="23" t="n"/>
      <c r="CW44" s="23" t="n"/>
      <c r="CY44" s="19" t="inlineStr">
        <is>
          <t>OTHERS</t>
        </is>
      </c>
      <c r="CZ44" s="51" t="n">
        <v>242.5772357723577</v>
      </c>
      <c r="DA44" s="51" t="n">
        <v>242.1048387096774</v>
      </c>
      <c r="DB44" s="51" t="n">
        <v>242.752</v>
      </c>
      <c r="DC44" s="51" t="n">
        <v>241.3015873015873</v>
      </c>
      <c r="DD44" s="51" t="n">
        <v>240.1574803149606</v>
      </c>
      <c r="DE44" s="51" t="n">
        <v>240.71875</v>
      </c>
      <c r="DF44" s="51" t="n">
        <v>239.7286821705426</v>
      </c>
      <c r="DG44" s="51" t="n">
        <v>239.4</v>
      </c>
      <c r="DH44" s="51" t="n">
        <v>239.0458015267176</v>
      </c>
      <c r="DI44" s="51" t="n">
        <v>238.1212121212121</v>
      </c>
      <c r="DJ44" s="51" t="n">
        <v>237.4812030075188</v>
      </c>
      <c r="DK44" s="51" t="n">
        <v>238.8507462686567</v>
      </c>
      <c r="DL44" s="51" t="n">
        <v>238.4740740740741</v>
      </c>
      <c r="DM44" s="51" t="n">
        <v>237.6323529411765</v>
      </c>
      <c r="DN44" s="51" t="n">
        <v>236.7007299270073</v>
      </c>
      <c r="DO44" s="51" t="n">
        <v>235.6159420289855</v>
      </c>
      <c r="DP44" s="51" t="n">
        <v>235.6690647482014</v>
      </c>
      <c r="DQ44" s="51" t="n">
        <v>235.5214285714286</v>
      </c>
      <c r="DR44" s="51" t="n">
        <v>235.2269503546099</v>
      </c>
      <c r="DS44" s="51" t="n">
        <v>235.8450704225352</v>
      </c>
      <c r="DT44" s="51" t="n">
        <v>235.4475524475525</v>
      </c>
      <c r="DU44" s="51" t="n">
        <v>235.3819444444445</v>
      </c>
      <c r="DV44" s="51" t="n">
        <v>235.3448275862069</v>
      </c>
      <c r="DW44" s="51" t="n">
        <v>235.6506849315068</v>
      </c>
      <c r="DX44" s="51" t="n">
        <v>234.6734693877551</v>
      </c>
      <c r="DY44" s="51" t="n">
        <v>234.3445945945946</v>
      </c>
      <c r="DZ44" s="51" t="n">
        <v>235.006711409396</v>
      </c>
      <c r="EA44" s="51" t="n">
        <v>235.12</v>
      </c>
      <c r="EB44" s="51" t="n">
        <v>236</v>
      </c>
      <c r="EC44" s="51" t="n">
        <v>235.5855263157895</v>
      </c>
      <c r="ED44" s="50" t="n">
        <v>235.1699346405229</v>
      </c>
    </row>
    <row r="45" ht="16.5" customHeight="1" thickBot="1">
      <c r="A45" s="11" t="inlineStr">
        <is>
          <t>TOTAL</t>
        </is>
      </c>
      <c r="B45" s="609">
        <f>SUM(B32:B44)</f>
        <v/>
      </c>
      <c r="C45" s="609">
        <f>SUM(C32:C44)</f>
        <v/>
      </c>
      <c r="D45" s="609">
        <f>SUM(D32:D44)</f>
        <v/>
      </c>
      <c r="E45" s="609">
        <f>SUM(E32:E44)</f>
        <v/>
      </c>
      <c r="F45" s="609">
        <f>SUM(F32:F44)</f>
        <v/>
      </c>
      <c r="G45" s="609">
        <f>SUM(G32:G44)</f>
        <v/>
      </c>
      <c r="H45" s="609">
        <f>SUM(H32:H44)</f>
        <v/>
      </c>
      <c r="I45" s="609">
        <f>SUM(I32:I44)</f>
        <v/>
      </c>
      <c r="J45" s="609">
        <f>SUM(J32:J44)</f>
        <v/>
      </c>
      <c r="K45" s="609">
        <f>SUM(K32:K44)</f>
        <v/>
      </c>
      <c r="L45" s="609">
        <f>SUM(L32:L44)</f>
        <v/>
      </c>
      <c r="M45" s="609">
        <f>SUM(M32:M44)</f>
        <v/>
      </c>
      <c r="N45" s="609">
        <f>SUM(N32:N44)</f>
        <v/>
      </c>
      <c r="O45" s="609">
        <f>SUM(O32:O44)</f>
        <v/>
      </c>
      <c r="P45" s="609">
        <f>SUM(P32:P44)</f>
        <v/>
      </c>
      <c r="Q45" s="609">
        <f>SUM(Q32:Q44)</f>
        <v/>
      </c>
      <c r="R45" s="609">
        <f>SUM(R32:R44)</f>
        <v/>
      </c>
      <c r="S45" s="609">
        <f>SUM(S32:S44)</f>
        <v/>
      </c>
      <c r="T45" s="609">
        <f>SUM(T32:T44)</f>
        <v/>
      </c>
      <c r="U45" s="609">
        <f>SUM(U32:U44)</f>
        <v/>
      </c>
      <c r="V45" s="609">
        <f>SUM(V32:V44)</f>
        <v/>
      </c>
      <c r="W45" s="609">
        <f>SUM(W32:W44)</f>
        <v/>
      </c>
      <c r="X45" s="609">
        <f>SUM(X32:X44)</f>
        <v/>
      </c>
      <c r="Y45" s="609">
        <f>SUM(Y32:Y44)</f>
        <v/>
      </c>
      <c r="Z45" s="609">
        <f>SUM(Z32:Z44)</f>
        <v/>
      </c>
      <c r="AA45" s="609">
        <f>SUM(AA32:AA44)</f>
        <v/>
      </c>
      <c r="AB45" s="609">
        <f>SUM(AB32:AB44)</f>
        <v/>
      </c>
      <c r="AC45" s="609">
        <f>SUM(AC32:AC44)</f>
        <v/>
      </c>
      <c r="AD45" s="609">
        <f>SUM(AD32:AD44)</f>
        <v/>
      </c>
      <c r="AE45" s="609" t="n"/>
      <c r="AF45" s="609" t="n"/>
      <c r="AH45" s="11" t="inlineStr">
        <is>
          <t>TOTAL</t>
        </is>
      </c>
      <c r="AI45" s="55">
        <f>SUM(AI32:AI44)</f>
        <v/>
      </c>
      <c r="AJ45" s="55">
        <f>SUM(AJ32:AJ44)</f>
        <v/>
      </c>
      <c r="AK45" s="55">
        <f>SUM(AK32:AK44)</f>
        <v/>
      </c>
      <c r="AL45" s="55">
        <f>SUM(AL32:AL44)</f>
        <v/>
      </c>
      <c r="AM45" s="55">
        <f>SUM(AM32:AM44)</f>
        <v/>
      </c>
      <c r="AN45" s="55">
        <f>SUM(AN32:AN44)</f>
        <v/>
      </c>
      <c r="AO45" s="55">
        <f>SUM(AO32:AO44)</f>
        <v/>
      </c>
      <c r="AP45" s="55">
        <f>SUM(AP32:AP44)</f>
        <v/>
      </c>
      <c r="AQ45" s="55">
        <f>SUM(AQ32:AQ44)</f>
        <v/>
      </c>
      <c r="AR45" s="55">
        <f>SUM(AR32:AR44)</f>
        <v/>
      </c>
      <c r="AS45" s="55">
        <f>SUM(AS32:AS44)</f>
        <v/>
      </c>
      <c r="AT45" s="55">
        <f>SUM(AT32:AT44)</f>
        <v/>
      </c>
      <c r="AU45" s="55">
        <f>SUM(AU32:AU44)</f>
        <v/>
      </c>
      <c r="AV45" s="55">
        <f>SUM(AV32:AV44)</f>
        <v/>
      </c>
      <c r="AW45" s="55">
        <f>SUM(AW32:AW44)</f>
        <v/>
      </c>
      <c r="AX45" s="55">
        <f>SUM(AX32:AX44)</f>
        <v/>
      </c>
      <c r="AY45" s="55">
        <f>SUM(AY32:AY44)</f>
        <v/>
      </c>
      <c r="AZ45" s="55">
        <f>SUM(AZ32:AZ44)</f>
        <v/>
      </c>
      <c r="BA45" s="55">
        <f>SUM(BA32:BA44)</f>
        <v/>
      </c>
      <c r="BB45" s="55">
        <f>SUM(BB32:BB44)</f>
        <v/>
      </c>
      <c r="BC45" s="55">
        <f>SUM(BC32:BC44)</f>
        <v/>
      </c>
      <c r="BD45" s="55">
        <f>SUM(BD32:BD44)</f>
        <v/>
      </c>
      <c r="BE45" s="55">
        <f>SUM(BE32:BE44)</f>
        <v/>
      </c>
      <c r="BF45" s="55">
        <f>SUM(BF32:BF44)</f>
        <v/>
      </c>
      <c r="BG45" s="55">
        <f>SUM(BG32:BG44)</f>
        <v/>
      </c>
      <c r="BH45" s="55">
        <f>SUM(BH32:BH44)</f>
        <v/>
      </c>
      <c r="BI45" s="55">
        <f>SUM(BI32:BI44)</f>
        <v/>
      </c>
      <c r="BJ45" s="55">
        <f>SUM(BJ32:BJ44)</f>
        <v/>
      </c>
      <c r="BK45" s="55">
        <f>SUM(BK32:BK44)</f>
        <v/>
      </c>
      <c r="BL45" s="55" t="n">
        <v>5700.833333333333</v>
      </c>
      <c r="BM45" s="55" t="n">
        <v>5714.806451612903</v>
      </c>
      <c r="BO45" s="11" t="inlineStr">
        <is>
          <t>TOTAL</t>
        </is>
      </c>
      <c r="BP45" s="46">
        <f>SUM(BP32:BP44)</f>
        <v/>
      </c>
      <c r="BQ45" s="46">
        <f>SUM(BQ32:BQ44)</f>
        <v/>
      </c>
      <c r="BR45" s="46">
        <f>SUM(BR32:BR44)</f>
        <v/>
      </c>
      <c r="BS45" s="46">
        <f>SUM(BS32:BS44)</f>
        <v/>
      </c>
      <c r="BT45" s="46">
        <f>SUM(BT32:BT44)</f>
        <v/>
      </c>
      <c r="BU45" s="46">
        <f>SUM(BU32:BU44)</f>
        <v/>
      </c>
      <c r="BV45" s="46">
        <f>SUM(BV32:BV44)</f>
        <v/>
      </c>
      <c r="BW45" s="46">
        <f>SUM(BW32:BW44)</f>
        <v/>
      </c>
      <c r="BX45" s="46">
        <f>SUM(BX32:BX44)</f>
        <v/>
      </c>
      <c r="BY45" s="46">
        <f>SUM(BY32:BY44)</f>
        <v/>
      </c>
      <c r="BZ45" s="46">
        <f>SUM(BZ32:BZ44)</f>
        <v/>
      </c>
      <c r="CA45" s="46">
        <f>SUM(CA32:CA44)</f>
        <v/>
      </c>
      <c r="CB45" s="46">
        <f>SUM(CB32:CB44)</f>
        <v/>
      </c>
      <c r="CC45" s="46">
        <f>SUM(CC32:CC44)</f>
        <v/>
      </c>
      <c r="CD45" s="46">
        <f>SUM(CD32:CD44)</f>
        <v/>
      </c>
      <c r="CE45" s="46">
        <f>SUM(CE32:CE44)</f>
        <v/>
      </c>
      <c r="CF45" s="46">
        <f>SUM(CF32:CF44)</f>
        <v/>
      </c>
      <c r="CG45" s="46">
        <f>SUM(CG32:CG44)</f>
        <v/>
      </c>
      <c r="CH45" s="46">
        <f>SUM(CH32:CH44)</f>
        <v/>
      </c>
      <c r="CI45" s="46">
        <f>SUM(CI32:CI44)</f>
        <v/>
      </c>
      <c r="CJ45" s="46">
        <f>SUM(CJ32:CJ44)</f>
        <v/>
      </c>
      <c r="CK45" s="46">
        <f>SUM(CK32:CK44)</f>
        <v/>
      </c>
      <c r="CL45" s="46">
        <f>SUM(CL32:CL44)</f>
        <v/>
      </c>
      <c r="CM45" s="46">
        <f>SUM(CM32:CM44)</f>
        <v/>
      </c>
      <c r="CN45" s="46">
        <f>SUM(CN32:CN44)</f>
        <v/>
      </c>
      <c r="CO45" s="46">
        <f>SUM(CO32:CO44)</f>
        <v/>
      </c>
      <c r="CP45" s="46">
        <f>SUM(CP32:CP44)</f>
        <v/>
      </c>
      <c r="CQ45" s="46">
        <f>SUM(CQ32:CQ44)</f>
        <v/>
      </c>
      <c r="CR45" s="46">
        <f>SUM(CR32:CR44)</f>
        <v/>
      </c>
      <c r="CS45" s="46" t="n">
        <v>5511.006578947368</v>
      </c>
      <c r="CT45" s="54" t="n">
        <v>5515.078431372549</v>
      </c>
      <c r="CU45" s="23" t="n"/>
      <c r="CV45" s="23" t="n"/>
      <c r="CW45" s="23" t="n"/>
      <c r="CY45" s="11" t="inlineStr">
        <is>
          <t>TOTAL</t>
        </is>
      </c>
      <c r="CZ45" s="46" t="n">
        <v>5460.59349593496</v>
      </c>
      <c r="DA45" s="46" t="n">
        <v>5463.58870967742</v>
      </c>
      <c r="DB45" s="46" t="n">
        <v>5468.184</v>
      </c>
      <c r="DC45" s="46" t="n">
        <v>5471.730158730159</v>
      </c>
      <c r="DD45" s="46" t="n">
        <v>5472.677165354331</v>
      </c>
      <c r="DE45" s="46" t="n">
        <v>5477.7421875</v>
      </c>
      <c r="DF45" s="46" t="n">
        <v>5479.899224806201</v>
      </c>
      <c r="DG45" s="46" t="n">
        <v>5477.546153846154</v>
      </c>
      <c r="DH45" s="46" t="n">
        <v>5479.977099236641</v>
      </c>
      <c r="DI45" s="46" t="n">
        <v>5478.681818181818</v>
      </c>
      <c r="DJ45" s="46" t="n">
        <v>5481.210526315789</v>
      </c>
      <c r="DK45" s="46" t="n">
        <v>5481.410447761194</v>
      </c>
      <c r="DL45" s="46" t="n">
        <v>5481.6</v>
      </c>
      <c r="DM45" s="46" t="n">
        <v>5484.338235294118</v>
      </c>
      <c r="DN45" s="46" t="n">
        <v>5485.970802919708</v>
      </c>
      <c r="DO45" s="46" t="n">
        <v>5483.971014492754</v>
      </c>
      <c r="DP45" s="46" t="n">
        <v>5482.89928057554</v>
      </c>
      <c r="DQ45" s="46" t="n">
        <v>5485.442857142857</v>
      </c>
      <c r="DR45" s="46" t="n">
        <v>5484.829787234043</v>
      </c>
      <c r="DS45" s="46" t="n">
        <v>5484.542253521126</v>
      </c>
      <c r="DT45" s="46" t="n">
        <v>5485.223776223776</v>
      </c>
      <c r="DU45" s="46" t="n">
        <v>5487.326388888889</v>
      </c>
      <c r="DV45" s="46" t="n">
        <v>5490.23448275862</v>
      </c>
      <c r="DW45" s="46" t="n">
        <v>5494.623287671233</v>
      </c>
      <c r="DX45" s="46" t="n">
        <v>5500.462585034014</v>
      </c>
      <c r="DY45" s="46" t="n">
        <v>5502.182432432433</v>
      </c>
      <c r="DZ45" s="46" t="n">
        <v>5506.127516778523</v>
      </c>
      <c r="EA45" s="46" t="n">
        <v>5507.813333333334</v>
      </c>
      <c r="EB45" s="46" t="n">
        <v>5509.721854304636</v>
      </c>
      <c r="EC45" s="46" t="n">
        <v>5511.006578947368</v>
      </c>
      <c r="ED45" s="54" t="n">
        <v>5515.078431372549</v>
      </c>
    </row>
    <row r="46" ht="15.75" customHeight="1" thickBot="1"/>
    <row r="47" ht="21.75" customHeight="1" thickBot="1">
      <c r="A47" s="2185" t="inlineStr">
        <is>
          <t>LAST YEAR DIVISIONWISE DAILY LOADING ( COPY PASTE VALUE ONLY)</t>
        </is>
      </c>
      <c r="B47" s="2141" t="n"/>
      <c r="C47" s="2141" t="n"/>
      <c r="D47" s="2141" t="n"/>
      <c r="E47" s="2141" t="n"/>
      <c r="F47" s="2141" t="n"/>
      <c r="G47" s="2141" t="n"/>
      <c r="H47" s="2141" t="n"/>
      <c r="I47" s="2141" t="n"/>
      <c r="J47" s="2141" t="n"/>
      <c r="K47" s="2141" t="n"/>
      <c r="L47" s="2141" t="n"/>
      <c r="M47" s="2141" t="n"/>
      <c r="N47" s="2141" t="n"/>
      <c r="O47" s="2141" t="n"/>
      <c r="P47" s="2141" t="n"/>
      <c r="Q47" s="2141" t="n"/>
      <c r="R47" s="2141" t="n"/>
      <c r="S47" s="2141" t="n"/>
      <c r="T47" s="2141" t="n"/>
      <c r="U47" s="2141" t="n"/>
      <c r="V47" s="2141" t="n"/>
      <c r="W47" s="2141" t="n"/>
      <c r="X47" s="2141" t="n"/>
      <c r="Y47" s="2141" t="n"/>
      <c r="Z47" s="2141" t="n"/>
      <c r="AA47" s="2141" t="n"/>
      <c r="AB47" s="2141" t="n"/>
      <c r="AC47" s="2141" t="n"/>
      <c r="AD47" s="2141" t="n"/>
      <c r="AE47" s="2141" t="n"/>
      <c r="AF47" s="2147" t="n"/>
      <c r="AH47" s="2185" t="inlineStr">
        <is>
          <t>LAST YEAR  DIVISION WISE MONTHLY  CUMMULATIVE  LOADING ( COPY PASTE VALUE ONLY)</t>
        </is>
      </c>
      <c r="AI47" s="2141" t="n"/>
      <c r="AJ47" s="2141" t="n"/>
      <c r="AK47" s="2141" t="n"/>
      <c r="AL47" s="2141" t="n"/>
      <c r="AM47" s="2141" t="n"/>
      <c r="AN47" s="2141" t="n"/>
      <c r="AO47" s="2141" t="n"/>
      <c r="AP47" s="2141" t="n"/>
      <c r="AQ47" s="2141" t="n"/>
      <c r="AR47" s="2141" t="n"/>
      <c r="AS47" s="2141" t="n"/>
      <c r="AT47" s="2141" t="n"/>
      <c r="AU47" s="2141" t="n"/>
      <c r="AV47" s="2141" t="n"/>
      <c r="AW47" s="2141" t="n"/>
      <c r="AX47" s="2141" t="n"/>
      <c r="AY47" s="2141" t="n"/>
      <c r="AZ47" s="2141" t="n"/>
      <c r="BA47" s="2141" t="n"/>
      <c r="BB47" s="2141" t="n"/>
      <c r="BC47" s="2141" t="n"/>
      <c r="BD47" s="2141" t="n"/>
      <c r="BE47" s="2141" t="n"/>
      <c r="BF47" s="2141" t="n"/>
      <c r="BG47" s="2141" t="n"/>
      <c r="BH47" s="2141" t="n"/>
      <c r="BI47" s="2141" t="n"/>
      <c r="BJ47" s="2141" t="n"/>
      <c r="BK47" s="2141" t="n"/>
      <c r="BL47" s="2141" t="n"/>
      <c r="BM47" s="2147" t="n"/>
      <c r="BO47" s="2182" t="inlineStr">
        <is>
          <t>LAST YEAR DIVISIONWISE  MONTHLY  AVG LOADING ( COPY PASTE VALUE ONLY)</t>
        </is>
      </c>
      <c r="BP47" s="2141" t="n"/>
      <c r="BQ47" s="2141" t="n"/>
      <c r="BR47" s="2141" t="n"/>
      <c r="BS47" s="2141" t="n"/>
      <c r="BT47" s="2141" t="n"/>
      <c r="BU47" s="2141" t="n"/>
      <c r="BV47" s="2141" t="n"/>
      <c r="BW47" s="2141" t="n"/>
      <c r="BX47" s="2141" t="n"/>
      <c r="BY47" s="2141" t="n"/>
      <c r="BZ47" s="2141" t="n"/>
      <c r="CA47" s="2141" t="n"/>
      <c r="CB47" s="2141" t="n"/>
      <c r="CC47" s="2141" t="n"/>
      <c r="CD47" s="2141" t="n"/>
      <c r="CE47" s="2141" t="n"/>
      <c r="CF47" s="2141" t="n"/>
      <c r="CG47" s="2141" t="n"/>
      <c r="CH47" s="2141" t="n"/>
      <c r="CI47" s="2141" t="n"/>
      <c r="CJ47" s="2141" t="n"/>
      <c r="CK47" s="2141" t="n"/>
      <c r="CL47" s="2141" t="n"/>
      <c r="CM47" s="2141" t="n"/>
      <c r="CN47" s="2141" t="n"/>
      <c r="CO47" s="2141" t="n"/>
      <c r="CP47" s="2141" t="n"/>
      <c r="CQ47" s="2141" t="n"/>
      <c r="CR47" s="2141" t="n"/>
      <c r="CS47" s="2141" t="n"/>
      <c r="CT47" s="2147" t="n"/>
      <c r="CU47" s="2135" t="n"/>
      <c r="CV47" s="2135" t="n"/>
      <c r="CW47" s="2135" t="n"/>
      <c r="CY47" s="2185" t="inlineStr">
        <is>
          <t>LAST YEAR DIVISIONWISE  YEARLY  AVG LOADING ( COPY PASTE VALUE ONLY)</t>
        </is>
      </c>
      <c r="CZ47" s="2141" t="n"/>
      <c r="DA47" s="2141" t="n"/>
      <c r="DB47" s="2141" t="n"/>
      <c r="DC47" s="2141" t="n"/>
      <c r="DD47" s="2141" t="n"/>
      <c r="DE47" s="2141" t="n"/>
      <c r="DF47" s="2141" t="n"/>
      <c r="DG47" s="2141" t="n"/>
      <c r="DH47" s="2141" t="n"/>
      <c r="DI47" s="2141" t="n"/>
      <c r="DJ47" s="2141" t="n"/>
      <c r="DK47" s="2141" t="n"/>
      <c r="DL47" s="2141" t="n"/>
      <c r="DM47" s="2141" t="n"/>
      <c r="DN47" s="2141" t="n"/>
      <c r="DO47" s="2141" t="n"/>
      <c r="DP47" s="2141" t="n"/>
      <c r="DQ47" s="2141" t="n"/>
      <c r="DR47" s="2141" t="n"/>
      <c r="DS47" s="2141" t="n"/>
      <c r="DT47" s="2141" t="n"/>
      <c r="DU47" s="2141" t="n"/>
      <c r="DV47" s="2141" t="n"/>
      <c r="DW47" s="2141" t="n"/>
      <c r="DX47" s="2141" t="n"/>
      <c r="DY47" s="2141" t="n"/>
      <c r="DZ47" s="2141" t="n"/>
      <c r="EA47" s="2141" t="n"/>
      <c r="EB47" s="2141" t="n"/>
      <c r="EC47" s="2141" t="n"/>
      <c r="ED47" s="2147" t="n"/>
    </row>
    <row r="48" ht="16.5" customHeight="1" thickBot="1">
      <c r="A48" s="597" t="inlineStr">
        <is>
          <t>DIV</t>
        </is>
      </c>
      <c r="B48" s="603" t="n">
        <v>1</v>
      </c>
      <c r="C48" s="604" t="n">
        <v>2</v>
      </c>
      <c r="D48" s="604" t="n">
        <v>3</v>
      </c>
      <c r="E48" s="604" t="n">
        <v>4</v>
      </c>
      <c r="F48" s="604" t="n">
        <v>5</v>
      </c>
      <c r="G48" s="604" t="n">
        <v>6</v>
      </c>
      <c r="H48" s="604" t="n">
        <v>7</v>
      </c>
      <c r="I48" s="604" t="n">
        <v>8</v>
      </c>
      <c r="J48" s="604" t="n">
        <v>9</v>
      </c>
      <c r="K48" s="604" t="n">
        <v>10</v>
      </c>
      <c r="L48" s="604" t="n">
        <v>11</v>
      </c>
      <c r="M48" s="604" t="n">
        <v>12</v>
      </c>
      <c r="N48" s="604" t="n">
        <v>13</v>
      </c>
      <c r="O48" s="604" t="n">
        <v>14</v>
      </c>
      <c r="P48" s="604" t="n">
        <v>15</v>
      </c>
      <c r="Q48" s="604" t="n">
        <v>16</v>
      </c>
      <c r="R48" s="604" t="n">
        <v>17</v>
      </c>
      <c r="S48" s="604" t="n">
        <v>18</v>
      </c>
      <c r="T48" s="604" t="n">
        <v>19</v>
      </c>
      <c r="U48" s="604" t="n">
        <v>20</v>
      </c>
      <c r="V48" s="604" t="n">
        <v>21</v>
      </c>
      <c r="W48" s="604" t="n">
        <v>22</v>
      </c>
      <c r="X48" s="604" t="n">
        <v>23</v>
      </c>
      <c r="Y48" s="604" t="n">
        <v>24</v>
      </c>
      <c r="Z48" s="604" t="n">
        <v>25</v>
      </c>
      <c r="AA48" s="604" t="n">
        <v>26</v>
      </c>
      <c r="AB48" s="604" t="n">
        <v>27</v>
      </c>
      <c r="AC48" s="604" t="n">
        <v>28</v>
      </c>
      <c r="AD48" s="604" t="n">
        <v>29</v>
      </c>
      <c r="AE48" s="604" t="n">
        <v>30</v>
      </c>
      <c r="AF48" s="605" t="n">
        <v>31</v>
      </c>
      <c r="AH48" s="12" t="inlineStr">
        <is>
          <t>DIV</t>
        </is>
      </c>
      <c r="AI48" s="3" t="n">
        <v>1</v>
      </c>
      <c r="AJ48" s="3" t="n">
        <v>2</v>
      </c>
      <c r="AK48" s="3" t="n">
        <v>3</v>
      </c>
      <c r="AL48" s="3" t="n">
        <v>4</v>
      </c>
      <c r="AM48" s="3" t="n">
        <v>5</v>
      </c>
      <c r="AN48" s="3" t="n">
        <v>6</v>
      </c>
      <c r="AO48" s="3" t="n">
        <v>7</v>
      </c>
      <c r="AP48" s="3" t="n">
        <v>8</v>
      </c>
      <c r="AQ48" s="3" t="n">
        <v>9</v>
      </c>
      <c r="AR48" s="3" t="n">
        <v>10</v>
      </c>
      <c r="AS48" s="3" t="n">
        <v>11</v>
      </c>
      <c r="AT48" s="3" t="n">
        <v>12</v>
      </c>
      <c r="AU48" s="3" t="n">
        <v>13</v>
      </c>
      <c r="AV48" s="3" t="n">
        <v>14</v>
      </c>
      <c r="AW48" s="3" t="n">
        <v>15</v>
      </c>
      <c r="AX48" s="3" t="n">
        <v>16</v>
      </c>
      <c r="AY48" s="3" t="n">
        <v>17</v>
      </c>
      <c r="AZ48" s="3" t="n">
        <v>18</v>
      </c>
      <c r="BA48" s="3" t="n">
        <v>19</v>
      </c>
      <c r="BB48" s="3" t="n">
        <v>20</v>
      </c>
      <c r="BC48" s="3" t="n">
        <v>21</v>
      </c>
      <c r="BD48" s="3" t="n">
        <v>22</v>
      </c>
      <c r="BE48" s="3" t="n">
        <v>23</v>
      </c>
      <c r="BF48" s="3" t="n">
        <v>24</v>
      </c>
      <c r="BG48" s="3" t="n">
        <v>25</v>
      </c>
      <c r="BH48" s="3" t="n">
        <v>26</v>
      </c>
      <c r="BI48" s="3" t="n">
        <v>27</v>
      </c>
      <c r="BJ48" s="3" t="n">
        <v>28</v>
      </c>
      <c r="BK48" s="3" t="n">
        <v>29</v>
      </c>
      <c r="BL48" s="3" t="n">
        <v>30</v>
      </c>
      <c r="BM48" s="5" t="n">
        <v>31</v>
      </c>
      <c r="BO48" s="12" t="inlineStr">
        <is>
          <t>DIV</t>
        </is>
      </c>
      <c r="BP48" s="3" t="n">
        <v>1</v>
      </c>
      <c r="BQ48" s="3" t="n">
        <v>2</v>
      </c>
      <c r="BR48" s="3" t="n">
        <v>3</v>
      </c>
      <c r="BS48" s="3" t="n">
        <v>4</v>
      </c>
      <c r="BT48" s="3" t="n">
        <v>5</v>
      </c>
      <c r="BU48" s="3" t="n">
        <v>6</v>
      </c>
      <c r="BV48" s="3" t="n">
        <v>7</v>
      </c>
      <c r="BW48" s="3" t="n">
        <v>8</v>
      </c>
      <c r="BX48" s="3" t="n">
        <v>9</v>
      </c>
      <c r="BY48" s="3" t="n">
        <v>10</v>
      </c>
      <c r="BZ48" s="3" t="n">
        <v>11</v>
      </c>
      <c r="CA48" s="3" t="n">
        <v>12</v>
      </c>
      <c r="CB48" s="3" t="n">
        <v>13</v>
      </c>
      <c r="CC48" s="3" t="n">
        <v>14</v>
      </c>
      <c r="CD48" s="3" t="n">
        <v>15</v>
      </c>
      <c r="CE48" s="3" t="n">
        <v>16</v>
      </c>
      <c r="CF48" s="3" t="n">
        <v>17</v>
      </c>
      <c r="CG48" s="3" t="n">
        <v>18</v>
      </c>
      <c r="CH48" s="3" t="n">
        <v>19</v>
      </c>
      <c r="CI48" s="3" t="n">
        <v>20</v>
      </c>
      <c r="CJ48" s="3" t="n">
        <v>21</v>
      </c>
      <c r="CK48" s="3" t="n">
        <v>22</v>
      </c>
      <c r="CL48" s="3" t="n">
        <v>23</v>
      </c>
      <c r="CM48" s="3" t="n">
        <v>24</v>
      </c>
      <c r="CN48" s="3" t="n">
        <v>25</v>
      </c>
      <c r="CO48" s="3" t="n">
        <v>26</v>
      </c>
      <c r="CP48" s="3" t="n">
        <v>27</v>
      </c>
      <c r="CQ48" s="3" t="n">
        <v>28</v>
      </c>
      <c r="CR48" s="3" t="n">
        <v>29</v>
      </c>
      <c r="CS48" s="3" t="n">
        <v>30</v>
      </c>
      <c r="CT48" s="5" t="n">
        <v>31</v>
      </c>
      <c r="CU48" s="2135" t="n"/>
      <c r="CV48" s="2135" t="n"/>
      <c r="CW48" s="2135" t="n"/>
      <c r="CY48" s="12" t="inlineStr">
        <is>
          <t>DIV</t>
        </is>
      </c>
      <c r="CZ48" s="3" t="n">
        <v>1</v>
      </c>
      <c r="DA48" s="3" t="n">
        <v>2</v>
      </c>
      <c r="DB48" s="3" t="n">
        <v>3</v>
      </c>
      <c r="DC48" s="3" t="n">
        <v>4</v>
      </c>
      <c r="DD48" s="3" t="n">
        <v>5</v>
      </c>
      <c r="DE48" s="3" t="n">
        <v>6</v>
      </c>
      <c r="DF48" s="3" t="n">
        <v>7</v>
      </c>
      <c r="DG48" s="3" t="n">
        <v>8</v>
      </c>
      <c r="DH48" s="3" t="n">
        <v>9</v>
      </c>
      <c r="DI48" s="3" t="n">
        <v>10</v>
      </c>
      <c r="DJ48" s="3" t="n">
        <v>11</v>
      </c>
      <c r="DK48" s="3" t="n">
        <v>12</v>
      </c>
      <c r="DL48" s="3" t="n">
        <v>13</v>
      </c>
      <c r="DM48" s="3" t="n">
        <v>14</v>
      </c>
      <c r="DN48" s="3" t="n">
        <v>15</v>
      </c>
      <c r="DO48" s="3" t="n">
        <v>16</v>
      </c>
      <c r="DP48" s="3" t="n">
        <v>17</v>
      </c>
      <c r="DQ48" s="3" t="n">
        <v>18</v>
      </c>
      <c r="DR48" s="3" t="n">
        <v>19</v>
      </c>
      <c r="DS48" s="3" t="n">
        <v>20</v>
      </c>
      <c r="DT48" s="3" t="n">
        <v>21</v>
      </c>
      <c r="DU48" s="3" t="n">
        <v>22</v>
      </c>
      <c r="DV48" s="3" t="n">
        <v>23</v>
      </c>
      <c r="DW48" s="3" t="n">
        <v>24</v>
      </c>
      <c r="DX48" s="3" t="n">
        <v>25</v>
      </c>
      <c r="DY48" s="3" t="n">
        <v>26</v>
      </c>
      <c r="DZ48" s="3" t="n">
        <v>27</v>
      </c>
      <c r="EA48" s="3" t="n">
        <v>28</v>
      </c>
      <c r="EB48" s="3" t="n">
        <v>29</v>
      </c>
      <c r="EC48" s="3" t="n">
        <v>30</v>
      </c>
      <c r="ED48" s="5" t="n">
        <v>31</v>
      </c>
    </row>
    <row r="49" ht="15.75" customHeight="1">
      <c r="A49" s="598" t="inlineStr">
        <is>
          <t>ADI</t>
        </is>
      </c>
      <c r="B49" s="599" t="n">
        <v>0</v>
      </c>
      <c r="C49" s="600" t="n">
        <v>0</v>
      </c>
      <c r="D49" s="600" t="n">
        <v>0</v>
      </c>
      <c r="E49" s="601" t="n">
        <v>0</v>
      </c>
      <c r="F49" s="601" t="n">
        <v>0</v>
      </c>
      <c r="G49" s="601" t="n">
        <v>0</v>
      </c>
      <c r="H49" s="601" t="n">
        <v>0</v>
      </c>
      <c r="I49" s="601" t="n">
        <v>0</v>
      </c>
      <c r="J49" s="601" t="n">
        <v>0</v>
      </c>
      <c r="K49" s="601" t="n">
        <v>0</v>
      </c>
      <c r="L49" s="601" t="n">
        <v>0</v>
      </c>
      <c r="M49" s="601" t="n">
        <v>0</v>
      </c>
      <c r="N49" s="601" t="n">
        <v>0</v>
      </c>
      <c r="O49" s="601" t="n">
        <v>0</v>
      </c>
      <c r="P49" s="601" t="n">
        <v>0</v>
      </c>
      <c r="Q49" s="601" t="n">
        <v>0</v>
      </c>
      <c r="R49" s="601" t="n">
        <v>0</v>
      </c>
      <c r="S49" s="601" t="n">
        <v>0</v>
      </c>
      <c r="T49" s="601" t="n">
        <v>0</v>
      </c>
      <c r="U49" s="601" t="n">
        <v>0</v>
      </c>
      <c r="V49" s="601" t="n">
        <v>0</v>
      </c>
      <c r="W49" s="601" t="n">
        <v>0</v>
      </c>
      <c r="X49" s="601" t="n">
        <v>0</v>
      </c>
      <c r="Y49" s="601" t="n">
        <v>0</v>
      </c>
      <c r="Z49" s="601" t="n">
        <v>0</v>
      </c>
      <c r="AA49" s="601" t="n">
        <v>0</v>
      </c>
      <c r="AB49" s="601" t="n">
        <v>0</v>
      </c>
      <c r="AC49" s="601" t="n">
        <v>0</v>
      </c>
      <c r="AD49" s="601" t="n">
        <v>0</v>
      </c>
      <c r="AE49" s="601" t="n"/>
      <c r="AF49" s="602" t="n"/>
      <c r="AH49" s="13" t="inlineStr">
        <is>
          <t>ADI</t>
        </is>
      </c>
      <c r="AI49" s="51">
        <f>SUM($B49:B49)/1</f>
        <v/>
      </c>
      <c r="AJ49" s="51">
        <f>SUM($B49:C49)/2</f>
        <v/>
      </c>
      <c r="AK49" s="51">
        <f>SUM($B49:D49)/3</f>
        <v/>
      </c>
      <c r="AL49" s="51">
        <f>SUM($B49:E49)/4</f>
        <v/>
      </c>
      <c r="AM49" s="51">
        <f>SUM($B49:F49)/5</f>
        <v/>
      </c>
      <c r="AN49" s="51">
        <f>SUM($B49:G49)/6</f>
        <v/>
      </c>
      <c r="AO49" s="51">
        <f>SUM($B49:H49)/7</f>
        <v/>
      </c>
      <c r="AP49" s="51">
        <f>SUM($B49:I49)/8</f>
        <v/>
      </c>
      <c r="AQ49" s="51">
        <f>SUM($B49:J49)/9</f>
        <v/>
      </c>
      <c r="AR49" s="51">
        <f>SUM($B49:K49)/10</f>
        <v/>
      </c>
      <c r="AS49" s="51">
        <f>SUM($B49:L49)/11</f>
        <v/>
      </c>
      <c r="AT49" s="51">
        <f>SUM($B49:M49)/12</f>
        <v/>
      </c>
      <c r="AU49" s="51">
        <f>SUM($B49:N49)/13</f>
        <v/>
      </c>
      <c r="AV49" s="51">
        <f>SUM($B49:O49)/14</f>
        <v/>
      </c>
      <c r="AW49" s="51">
        <f>SUM($B49:P49)/15</f>
        <v/>
      </c>
      <c r="AX49" s="51">
        <f>SUM($B49:Q49)/16</f>
        <v/>
      </c>
      <c r="AY49" s="51">
        <f>SUM($B49:R49)/17</f>
        <v/>
      </c>
      <c r="AZ49" s="51">
        <f>SUM($B49:S49)/18</f>
        <v/>
      </c>
      <c r="BA49" s="51">
        <f>SUM($B49:T49)/19</f>
        <v/>
      </c>
      <c r="BB49" s="51">
        <f>SUM($B49:U49)/20</f>
        <v/>
      </c>
      <c r="BC49" s="51">
        <f>SUM($B49:V49)/21</f>
        <v/>
      </c>
      <c r="BD49" s="51">
        <f>SUM($B49:W49)/22</f>
        <v/>
      </c>
      <c r="BE49" s="51">
        <f>SUM($B49:X49)/23</f>
        <v/>
      </c>
      <c r="BF49" s="51">
        <f>SUM($B49:Y49)/24</f>
        <v/>
      </c>
      <c r="BG49" s="51">
        <f>SUM($B49:Z49)/25</f>
        <v/>
      </c>
      <c r="BH49" s="51">
        <f>SUM($B49:AA49)/26</f>
        <v/>
      </c>
      <c r="BI49" s="51">
        <f>SUM($B49:AB49)/27</f>
        <v/>
      </c>
      <c r="BJ49" s="51">
        <f>SUM($B49:AC49)/28</f>
        <v/>
      </c>
      <c r="BK49" s="51">
        <f>SUM($B49:AD49)/29</f>
        <v/>
      </c>
      <c r="BL49" s="51" t="n"/>
      <c r="BM49" s="50" t="n"/>
      <c r="BO49" s="13" t="inlineStr">
        <is>
          <t>ADI</t>
        </is>
      </c>
      <c r="BP49" s="51">
        <f>(0.0+SUM($B49:B49))/(306+1)</f>
        <v/>
      </c>
      <c r="BQ49" s="51">
        <f>(0.0+SUM($B49:C49))/(306+2)</f>
        <v/>
      </c>
      <c r="BR49" s="51">
        <f>(0.0+SUM($B49:D49))/(306+3)</f>
        <v/>
      </c>
      <c r="BS49" s="51">
        <f>(0.0+SUM($B49:E49))/(306+4)</f>
        <v/>
      </c>
      <c r="BT49" s="51">
        <f>(0.0+SUM($B49:F49))/(306+5)</f>
        <v/>
      </c>
      <c r="BU49" s="51">
        <f>(0.0+SUM($B49:G49))/(306+6)</f>
        <v/>
      </c>
      <c r="BV49" s="51">
        <f>(0.0+SUM($B49:H49))/(306+7)</f>
        <v/>
      </c>
      <c r="BW49" s="51">
        <f>(0.0+SUM($B49:I49))/(306+8)</f>
        <v/>
      </c>
      <c r="BX49" s="51">
        <f>(0.0+SUM($B49:J49))/(306+9)</f>
        <v/>
      </c>
      <c r="BY49" s="51">
        <f>(0.0+SUM($B49:K49))/(306+10)</f>
        <v/>
      </c>
      <c r="BZ49" s="51">
        <f>(0.0+SUM($B49:L49))/(306+11)</f>
        <v/>
      </c>
      <c r="CA49" s="51">
        <f>(0.0+SUM($B49:M49))/(306+12)</f>
        <v/>
      </c>
      <c r="CB49" s="51">
        <f>(0.0+SUM($B49:N49))/(306+13)</f>
        <v/>
      </c>
      <c r="CC49" s="51">
        <f>(0.0+SUM($B49:O49))/(306+14)</f>
        <v/>
      </c>
      <c r="CD49" s="51">
        <f>(0.0+SUM($B49:P49))/(306+15)</f>
        <v/>
      </c>
      <c r="CE49" s="51">
        <f>(0.0+SUM($B49:Q49))/(306+16)</f>
        <v/>
      </c>
      <c r="CF49" s="51">
        <f>(0.0+SUM($B49:R49))/(306+17)</f>
        <v/>
      </c>
      <c r="CG49" s="51">
        <f>(0.0+SUM($B49:S49))/(306+18)</f>
        <v/>
      </c>
      <c r="CH49" s="51">
        <f>(0.0+SUM($B49:T49))/(306+19)</f>
        <v/>
      </c>
      <c r="CI49" s="51">
        <f>(0.0+SUM($B49:U49))/(306+20)</f>
        <v/>
      </c>
      <c r="CJ49" s="51">
        <f>(0.0+SUM($B49:V49))/(306+21)</f>
        <v/>
      </c>
      <c r="CK49" s="51">
        <f>(0.0+SUM($B49:W49))/(306+22)</f>
        <v/>
      </c>
      <c r="CL49" s="51">
        <f>(0.0+SUM($B49:X49))/(306+23)</f>
        <v/>
      </c>
      <c r="CM49" s="51">
        <f>(0.0+SUM($B49:Y49))/(306+24)</f>
        <v/>
      </c>
      <c r="CN49" s="51">
        <f>(0.0+SUM($B49:Z49))/(306+25)</f>
        <v/>
      </c>
      <c r="CO49" s="51">
        <f>(0.0+SUM($B49:AA49))/(306+26)</f>
        <v/>
      </c>
      <c r="CP49" s="51">
        <f>(0.0+SUM($B49:AB49))/(306+27)</f>
        <v/>
      </c>
      <c r="CQ49" s="51">
        <f>(0.0+SUM($B49:AC49))/(306+28)</f>
        <v/>
      </c>
      <c r="CR49" s="51">
        <f>(0.0+SUM($B49:AD49))/(306+29)</f>
        <v/>
      </c>
      <c r="CS49" s="51" t="n"/>
      <c r="CT49" s="50" t="n"/>
      <c r="CU49" s="23" t="n"/>
      <c r="CV49" s="23" t="n"/>
      <c r="CW49" s="23" t="n"/>
      <c r="CY49" s="13" t="inlineStr">
        <is>
          <t>ADI</t>
        </is>
      </c>
      <c r="CZ49" s="51" t="n">
        <v>781.0081300813008</v>
      </c>
      <c r="DA49" s="51" t="n">
        <v>783.2983870967741</v>
      </c>
      <c r="DB49" s="51" t="n">
        <v>782.032</v>
      </c>
      <c r="DC49" s="51" t="n">
        <v>780.952380952381</v>
      </c>
      <c r="DD49" s="51" t="n">
        <v>780.1259842519685</v>
      </c>
      <c r="DE49" s="51" t="n">
        <v>780.8515625</v>
      </c>
      <c r="DF49" s="51" t="n">
        <v>781.6046511627907</v>
      </c>
      <c r="DG49" s="51" t="n">
        <v>780.6769230769231</v>
      </c>
      <c r="DH49" s="51" t="n">
        <v>779.9694656488549</v>
      </c>
      <c r="DI49" s="51" t="n">
        <v>778.1969696969697</v>
      </c>
      <c r="DJ49" s="51" t="n">
        <v>778.7744360902255</v>
      </c>
      <c r="DK49" s="51" t="n">
        <v>777.955223880597</v>
      </c>
      <c r="DL49" s="51" t="n">
        <v>777.2740740740741</v>
      </c>
      <c r="DM49" s="51" t="n">
        <v>775.8382352941177</v>
      </c>
      <c r="DN49" s="51" t="n">
        <v>775.2992700729927</v>
      </c>
      <c r="DO49" s="51" t="n">
        <v>774.5</v>
      </c>
      <c r="DP49" s="51" t="n">
        <v>774.4460431654676</v>
      </c>
      <c r="DQ49" s="51" t="n">
        <v>773.8928571428571</v>
      </c>
      <c r="DR49" s="51" t="n">
        <v>774.0283687943263</v>
      </c>
      <c r="DS49" s="51" t="n">
        <v>775.3943661971831</v>
      </c>
      <c r="DT49" s="51" t="n">
        <v>774.4405594405595</v>
      </c>
      <c r="DU49" s="51" t="n">
        <v>775.1597222222222</v>
      </c>
      <c r="DV49" s="51" t="n">
        <v>776.255172413793</v>
      </c>
      <c r="DW49" s="51" t="n">
        <v>775.7054794520548</v>
      </c>
      <c r="DX49" s="51" t="n">
        <v>775.7687074829932</v>
      </c>
      <c r="DY49" s="51" t="n">
        <v>776.6013513513514</v>
      </c>
      <c r="DZ49" s="51" t="n">
        <v>776.5771812080537</v>
      </c>
      <c r="EA49" s="51" t="n">
        <v>775.0266666666666</v>
      </c>
      <c r="EB49" s="51" t="n">
        <v>774.0463576158941</v>
      </c>
      <c r="EC49" s="51" t="n">
        <v>775.1118421052631</v>
      </c>
      <c r="ED49" s="50" t="n">
        <v>774.7647058823529</v>
      </c>
    </row>
    <row r="50" ht="15.75" customHeight="1">
      <c r="A50" s="595" t="inlineStr">
        <is>
          <t>GIMB</t>
        </is>
      </c>
      <c r="B50" s="594" t="n">
        <v>0</v>
      </c>
      <c r="C50" s="587" t="n">
        <v>0</v>
      </c>
      <c r="D50" s="587" t="n">
        <v>0</v>
      </c>
      <c r="E50" s="588" t="n">
        <v>0</v>
      </c>
      <c r="F50" s="587" t="n">
        <v>0</v>
      </c>
      <c r="G50" s="588" t="n">
        <v>0</v>
      </c>
      <c r="H50" s="588" t="n">
        <v>0</v>
      </c>
      <c r="I50" s="588" t="n">
        <v>0</v>
      </c>
      <c r="J50" s="588" t="n">
        <v>0</v>
      </c>
      <c r="K50" s="588" t="n">
        <v>0</v>
      </c>
      <c r="L50" s="588" t="n">
        <v>0</v>
      </c>
      <c r="M50" s="588" t="n">
        <v>0</v>
      </c>
      <c r="N50" s="588" t="n">
        <v>0</v>
      </c>
      <c r="O50" s="588" t="n">
        <v>0</v>
      </c>
      <c r="P50" s="588" t="n">
        <v>0</v>
      </c>
      <c r="Q50" s="588" t="n">
        <v>0</v>
      </c>
      <c r="R50" s="588" t="n">
        <v>0</v>
      </c>
      <c r="S50" s="588" t="n">
        <v>0</v>
      </c>
      <c r="T50" s="588" t="n">
        <v>0</v>
      </c>
      <c r="U50" s="588" t="n">
        <v>0</v>
      </c>
      <c r="V50" s="588" t="n">
        <v>0</v>
      </c>
      <c r="W50" s="588" t="n">
        <v>0</v>
      </c>
      <c r="X50" s="588" t="n">
        <v>0</v>
      </c>
      <c r="Y50" s="588" t="n">
        <v>0</v>
      </c>
      <c r="Z50" s="588" t="n">
        <v>0</v>
      </c>
      <c r="AA50" s="588" t="n">
        <v>0</v>
      </c>
      <c r="AB50" s="588" t="n">
        <v>0</v>
      </c>
      <c r="AC50" s="588" t="n">
        <v>0</v>
      </c>
      <c r="AD50" s="588" t="n">
        <v>0</v>
      </c>
      <c r="AE50" s="588" t="n"/>
      <c r="AF50" s="592" t="n"/>
      <c r="AH50" s="13" t="inlineStr">
        <is>
          <t>GIMB</t>
        </is>
      </c>
      <c r="AI50" s="51">
        <f>SUM($B50:B50)/1</f>
        <v/>
      </c>
      <c r="AJ50" s="51">
        <f>SUM($B50:C50)/2</f>
        <v/>
      </c>
      <c r="AK50" s="51">
        <f>SUM($B50:D50)/3</f>
        <v/>
      </c>
      <c r="AL50" s="51">
        <f>SUM($B50:E50)/4</f>
        <v/>
      </c>
      <c r="AM50" s="51">
        <f>SUM($B50:F50)/5</f>
        <v/>
      </c>
      <c r="AN50" s="51">
        <f>SUM($B50:G50)/6</f>
        <v/>
      </c>
      <c r="AO50" s="51">
        <f>SUM($B50:H50)/7</f>
        <v/>
      </c>
      <c r="AP50" s="51">
        <f>SUM($B50:I50)/8</f>
        <v/>
      </c>
      <c r="AQ50" s="51">
        <f>SUM($B50:J50)/9</f>
        <v/>
      </c>
      <c r="AR50" s="51">
        <f>SUM($B50:K50)/10</f>
        <v/>
      </c>
      <c r="AS50" s="51">
        <f>SUM($B50:L50)/11</f>
        <v/>
      </c>
      <c r="AT50" s="51">
        <f>SUM($B50:M50)/12</f>
        <v/>
      </c>
      <c r="AU50" s="51">
        <f>SUM($B50:N50)/13</f>
        <v/>
      </c>
      <c r="AV50" s="51">
        <f>SUM($B50:O50)/14</f>
        <v/>
      </c>
      <c r="AW50" s="51">
        <f>SUM($B50:P50)/15</f>
        <v/>
      </c>
      <c r="AX50" s="51">
        <f>SUM($B50:Q50)/16</f>
        <v/>
      </c>
      <c r="AY50" s="51">
        <f>SUM($B50:R50)/17</f>
        <v/>
      </c>
      <c r="AZ50" s="51">
        <f>SUM($B50:S50)/18</f>
        <v/>
      </c>
      <c r="BA50" s="51">
        <f>SUM($B50:T50)/19</f>
        <v/>
      </c>
      <c r="BB50" s="51">
        <f>SUM($B50:U50)/20</f>
        <v/>
      </c>
      <c r="BC50" s="51">
        <f>SUM($B50:V50)/21</f>
        <v/>
      </c>
      <c r="BD50" s="51">
        <f>SUM($B50:W50)/22</f>
        <v/>
      </c>
      <c r="BE50" s="51">
        <f>SUM($B50:X50)/23</f>
        <v/>
      </c>
      <c r="BF50" s="51">
        <f>SUM($B50:Y50)/24</f>
        <v/>
      </c>
      <c r="BG50" s="51">
        <f>SUM($B50:Z50)/25</f>
        <v/>
      </c>
      <c r="BH50" s="51">
        <f>SUM($B50:AA50)/26</f>
        <v/>
      </c>
      <c r="BI50" s="51">
        <f>SUM($B50:AB50)/27</f>
        <v/>
      </c>
      <c r="BJ50" s="51">
        <f>SUM($B50:AC50)/28</f>
        <v/>
      </c>
      <c r="BK50" s="51">
        <f>SUM($B50:AD50)/29</f>
        <v/>
      </c>
      <c r="BL50" s="51" t="n"/>
      <c r="BM50" s="50" t="n"/>
      <c r="BO50" s="13" t="inlineStr">
        <is>
          <t>GIMB</t>
        </is>
      </c>
      <c r="BP50" s="51">
        <f>(0.0+SUM($B50:B50))/(306+1)</f>
        <v/>
      </c>
      <c r="BQ50" s="51">
        <f>(0.0+SUM($B50:C50))/(306+2)</f>
        <v/>
      </c>
      <c r="BR50" s="51">
        <f>(0.0+SUM($B50:D50))/(306+3)</f>
        <v/>
      </c>
      <c r="BS50" s="51">
        <f>(0.0+SUM($B50:E50))/(306+4)</f>
        <v/>
      </c>
      <c r="BT50" s="51">
        <f>(0.0+SUM($B50:F50))/(306+5)</f>
        <v/>
      </c>
      <c r="BU50" s="51">
        <f>(0.0+SUM($B50:G50))/(306+6)</f>
        <v/>
      </c>
      <c r="BV50" s="51">
        <f>(0.0+SUM($B50:H50))/(306+7)</f>
        <v/>
      </c>
      <c r="BW50" s="51">
        <f>(0.0+SUM($B50:I50))/(306+8)</f>
        <v/>
      </c>
      <c r="BX50" s="51">
        <f>(0.0+SUM($B50:J50))/(306+9)</f>
        <v/>
      </c>
      <c r="BY50" s="51">
        <f>(0.0+SUM($B50:K50))/(306+10)</f>
        <v/>
      </c>
      <c r="BZ50" s="51">
        <f>(0.0+SUM($B50:L50))/(306+11)</f>
        <v/>
      </c>
      <c r="CA50" s="51">
        <f>(0.0+SUM($B50:M50))/(306+12)</f>
        <v/>
      </c>
      <c r="CB50" s="51">
        <f>(0.0+SUM($B50:N50))/(306+13)</f>
        <v/>
      </c>
      <c r="CC50" s="51">
        <f>(0.0+SUM($B50:O50))/(306+14)</f>
        <v/>
      </c>
      <c r="CD50" s="51">
        <f>(0.0+SUM($B50:P50))/(306+15)</f>
        <v/>
      </c>
      <c r="CE50" s="51">
        <f>(0.0+SUM($B50:Q50))/(306+16)</f>
        <v/>
      </c>
      <c r="CF50" s="51">
        <f>(0.0+SUM($B50:R50))/(306+17)</f>
        <v/>
      </c>
      <c r="CG50" s="51">
        <f>(0.0+SUM($B50:S50))/(306+18)</f>
        <v/>
      </c>
      <c r="CH50" s="51">
        <f>(0.0+SUM($B50:T50))/(306+19)</f>
        <v/>
      </c>
      <c r="CI50" s="51">
        <f>(0.0+SUM($B50:U50))/(306+20)</f>
        <v/>
      </c>
      <c r="CJ50" s="51">
        <f>(0.0+SUM($B50:V50))/(306+21)</f>
        <v/>
      </c>
      <c r="CK50" s="51">
        <f>(0.0+SUM($B50:W50))/(306+22)</f>
        <v/>
      </c>
      <c r="CL50" s="51">
        <f>(0.0+SUM($B50:X50))/(306+23)</f>
        <v/>
      </c>
      <c r="CM50" s="51">
        <f>(0.0+SUM($B50:Y50))/(306+24)</f>
        <v/>
      </c>
      <c r="CN50" s="51">
        <f>(0.0+SUM($B50:Z50))/(306+25)</f>
        <v/>
      </c>
      <c r="CO50" s="51">
        <f>(0.0+SUM($B50:AA50))/(306+26)</f>
        <v/>
      </c>
      <c r="CP50" s="51">
        <f>(0.0+SUM($B50:AB50))/(306+27)</f>
        <v/>
      </c>
      <c r="CQ50" s="51">
        <f>(0.0+SUM($B50:AC50))/(306+28)</f>
        <v/>
      </c>
      <c r="CR50" s="51">
        <f>(0.0+SUM($B50:AD50))/(306+29)</f>
        <v/>
      </c>
      <c r="CS50" s="51" t="n"/>
      <c r="CT50" s="50" t="n"/>
      <c r="CU50" s="23" t="n"/>
      <c r="CV50" s="23" t="n"/>
      <c r="CW50" s="23" t="n"/>
      <c r="CY50" s="13" t="inlineStr">
        <is>
          <t>GIMB</t>
        </is>
      </c>
      <c r="CZ50" s="51" t="n">
        <v>1945.219512195122</v>
      </c>
      <c r="DA50" s="51" t="n">
        <v>1944.75</v>
      </c>
      <c r="DB50" s="51" t="n">
        <v>1947.976</v>
      </c>
      <c r="DC50" s="51" t="n">
        <v>1949.650793650794</v>
      </c>
      <c r="DD50" s="51" t="n">
        <v>1952.511811023622</v>
      </c>
      <c r="DE50" s="51" t="n">
        <v>1956.2734375</v>
      </c>
      <c r="DF50" s="51" t="n">
        <v>1956.813953488372</v>
      </c>
      <c r="DG50" s="51" t="n">
        <v>1955.938461538462</v>
      </c>
      <c r="DH50" s="51" t="n">
        <v>1959.038167938931</v>
      </c>
      <c r="DI50" s="51" t="n">
        <v>1961.704545454545</v>
      </c>
      <c r="DJ50" s="51" t="n">
        <v>1963.984962406015</v>
      </c>
      <c r="DK50" s="51" t="n">
        <v>1966.738805970149</v>
      </c>
      <c r="DL50" s="51" t="n">
        <v>1969.525925925926</v>
      </c>
      <c r="DM50" s="51" t="n">
        <v>1970.5</v>
      </c>
      <c r="DN50" s="51" t="n">
        <v>1973.627737226277</v>
      </c>
      <c r="DO50" s="51" t="n">
        <v>1974.855072463768</v>
      </c>
      <c r="DP50" s="51" t="n">
        <v>1976.748201438849</v>
      </c>
      <c r="DQ50" s="51" t="n">
        <v>1982.335714285714</v>
      </c>
      <c r="DR50" s="51" t="n">
        <v>1984.22695035461</v>
      </c>
      <c r="DS50" s="51" t="n">
        <v>1987.830985915493</v>
      </c>
      <c r="DT50" s="51" t="n">
        <v>1990.475524475524</v>
      </c>
      <c r="DU50" s="51" t="n">
        <v>1991.902777777778</v>
      </c>
      <c r="DV50" s="51" t="n">
        <v>1992.903448275862</v>
      </c>
      <c r="DW50" s="51" t="n">
        <v>1996.678082191781</v>
      </c>
      <c r="DX50" s="51" t="n">
        <v>2000.122448979592</v>
      </c>
      <c r="DY50" s="51" t="n">
        <v>2001.108108108108</v>
      </c>
      <c r="DZ50" s="51" t="n">
        <v>2004.906040268456</v>
      </c>
      <c r="EA50" s="51" t="n">
        <v>2005.933333333333</v>
      </c>
      <c r="EB50" s="51" t="n">
        <v>2009.490066225165</v>
      </c>
      <c r="EC50" s="51" t="n">
        <v>2009.572368421053</v>
      </c>
      <c r="ED50" s="50" t="n">
        <v>2011.803921568627</v>
      </c>
    </row>
    <row r="51" ht="15.75" customHeight="1">
      <c r="A51" s="595" t="inlineStr">
        <is>
          <t>BCT</t>
        </is>
      </c>
      <c r="B51" s="594" t="n">
        <v>0</v>
      </c>
      <c r="C51" s="587" t="n">
        <v>0</v>
      </c>
      <c r="D51" s="587" t="n">
        <v>0</v>
      </c>
      <c r="E51" s="588" t="n">
        <v>0</v>
      </c>
      <c r="F51" s="587" t="n">
        <v>0</v>
      </c>
      <c r="G51" s="588" t="n">
        <v>0</v>
      </c>
      <c r="H51" s="588" t="n">
        <v>0</v>
      </c>
      <c r="I51" s="588" t="n">
        <v>0</v>
      </c>
      <c r="J51" s="588" t="n">
        <v>0</v>
      </c>
      <c r="K51" s="588" t="n">
        <v>0</v>
      </c>
      <c r="L51" s="588" t="n">
        <v>0</v>
      </c>
      <c r="M51" s="588" t="n">
        <v>0</v>
      </c>
      <c r="N51" s="588" t="n">
        <v>0</v>
      </c>
      <c r="O51" s="588" t="n">
        <v>0</v>
      </c>
      <c r="P51" s="588" t="n">
        <v>0</v>
      </c>
      <c r="Q51" s="588" t="n">
        <v>0</v>
      </c>
      <c r="R51" s="588" t="n">
        <v>0</v>
      </c>
      <c r="S51" s="588" t="n">
        <v>0</v>
      </c>
      <c r="T51" s="588" t="n">
        <v>0</v>
      </c>
      <c r="U51" s="588" t="n">
        <v>0</v>
      </c>
      <c r="V51" s="588" t="n">
        <v>0</v>
      </c>
      <c r="W51" s="588" t="n">
        <v>0</v>
      </c>
      <c r="X51" s="588" t="n">
        <v>0</v>
      </c>
      <c r="Y51" s="588" t="n">
        <v>0</v>
      </c>
      <c r="Z51" s="588" t="n">
        <v>0</v>
      </c>
      <c r="AA51" s="588" t="n">
        <v>0</v>
      </c>
      <c r="AB51" s="588" t="n">
        <v>0</v>
      </c>
      <c r="AC51" s="588" t="n">
        <v>0</v>
      </c>
      <c r="AD51" s="588" t="n">
        <v>0</v>
      </c>
      <c r="AE51" s="588" t="n"/>
      <c r="AF51" s="592" t="n"/>
      <c r="AH51" s="13" t="inlineStr">
        <is>
          <t>BCT</t>
        </is>
      </c>
      <c r="AI51" s="51">
        <f>SUM($B51:B51)/1</f>
        <v/>
      </c>
      <c r="AJ51" s="51">
        <f>SUM($B51:C51)/2</f>
        <v/>
      </c>
      <c r="AK51" s="51">
        <f>SUM($B51:D51)/3</f>
        <v/>
      </c>
      <c r="AL51" s="51">
        <f>SUM($B51:E51)/4</f>
        <v/>
      </c>
      <c r="AM51" s="51">
        <f>SUM($B51:F51)/5</f>
        <v/>
      </c>
      <c r="AN51" s="51">
        <f>SUM($B51:G51)/6</f>
        <v/>
      </c>
      <c r="AO51" s="51">
        <f>SUM($B51:H51)/7</f>
        <v/>
      </c>
      <c r="AP51" s="51">
        <f>SUM($B51:I51)/8</f>
        <v/>
      </c>
      <c r="AQ51" s="51">
        <f>SUM($B51:J51)/9</f>
        <v/>
      </c>
      <c r="AR51" s="51">
        <f>SUM($B51:K51)/10</f>
        <v/>
      </c>
      <c r="AS51" s="51">
        <f>SUM($B51:L51)/11</f>
        <v/>
      </c>
      <c r="AT51" s="51">
        <f>SUM($B51:M51)/12</f>
        <v/>
      </c>
      <c r="AU51" s="51">
        <f>SUM($B51:N51)/13</f>
        <v/>
      </c>
      <c r="AV51" s="51">
        <f>SUM($B51:O51)/14</f>
        <v/>
      </c>
      <c r="AW51" s="51">
        <f>SUM($B51:P51)/15</f>
        <v/>
      </c>
      <c r="AX51" s="51">
        <f>SUM($B51:Q51)/16</f>
        <v/>
      </c>
      <c r="AY51" s="51">
        <f>SUM($B51:R51)/17</f>
        <v/>
      </c>
      <c r="AZ51" s="51">
        <f>SUM($B51:S51)/18</f>
        <v/>
      </c>
      <c r="BA51" s="51">
        <f>SUM($B51:T51)/19</f>
        <v/>
      </c>
      <c r="BB51" s="51">
        <f>SUM($B51:U51)/20</f>
        <v/>
      </c>
      <c r="BC51" s="51">
        <f>SUM($B51:V51)/21</f>
        <v/>
      </c>
      <c r="BD51" s="51">
        <f>SUM($B51:W51)/22</f>
        <v/>
      </c>
      <c r="BE51" s="51">
        <f>SUM($B51:X51)/23</f>
        <v/>
      </c>
      <c r="BF51" s="51">
        <f>SUM($B51:Y51)/24</f>
        <v/>
      </c>
      <c r="BG51" s="51">
        <f>SUM($B51:Z51)/25</f>
        <v/>
      </c>
      <c r="BH51" s="51">
        <f>SUM($B51:AA51)/26</f>
        <v/>
      </c>
      <c r="BI51" s="51">
        <f>SUM($B51:AB51)/27</f>
        <v/>
      </c>
      <c r="BJ51" s="51">
        <f>SUM($B51:AC51)/28</f>
        <v/>
      </c>
      <c r="BK51" s="51">
        <f>SUM($B51:AD51)/29</f>
        <v/>
      </c>
      <c r="BL51" s="51" t="n"/>
      <c r="BM51" s="50" t="n"/>
      <c r="BO51" s="13" t="inlineStr">
        <is>
          <t>BCT</t>
        </is>
      </c>
      <c r="BP51" s="51">
        <f>(0.0+SUM($B51:B51))/(306+1)</f>
        <v/>
      </c>
      <c r="BQ51" s="51">
        <f>(0.0+SUM($B51:C51))/(306+2)</f>
        <v/>
      </c>
      <c r="BR51" s="51">
        <f>(0.0+SUM($B51:D51))/(306+3)</f>
        <v/>
      </c>
      <c r="BS51" s="51">
        <f>(0.0+SUM($B51:E51))/(306+4)</f>
        <v/>
      </c>
      <c r="BT51" s="51">
        <f>(0.0+SUM($B51:F51))/(306+5)</f>
        <v/>
      </c>
      <c r="BU51" s="51">
        <f>(0.0+SUM($B51:G51))/(306+6)</f>
        <v/>
      </c>
      <c r="BV51" s="51">
        <f>(0.0+SUM($B51:H51))/(306+7)</f>
        <v/>
      </c>
      <c r="BW51" s="51">
        <f>(0.0+SUM($B51:I51))/(306+8)</f>
        <v/>
      </c>
      <c r="BX51" s="51">
        <f>(0.0+SUM($B51:J51))/(306+9)</f>
        <v/>
      </c>
      <c r="BY51" s="51">
        <f>(0.0+SUM($B51:K51))/(306+10)</f>
        <v/>
      </c>
      <c r="BZ51" s="51">
        <f>(0.0+SUM($B51:L51))/(306+11)</f>
        <v/>
      </c>
      <c r="CA51" s="51">
        <f>(0.0+SUM($B51:M51))/(306+12)</f>
        <v/>
      </c>
      <c r="CB51" s="51">
        <f>(0.0+SUM($B51:N51))/(306+13)</f>
        <v/>
      </c>
      <c r="CC51" s="51">
        <f>(0.0+SUM($B51:O51))/(306+14)</f>
        <v/>
      </c>
      <c r="CD51" s="51">
        <f>(0.0+SUM($B51:P51))/(306+15)</f>
        <v/>
      </c>
      <c r="CE51" s="51">
        <f>(0.0+SUM($B51:Q51))/(306+16)</f>
        <v/>
      </c>
      <c r="CF51" s="51">
        <f>(0.0+SUM($B51:R51))/(306+17)</f>
        <v/>
      </c>
      <c r="CG51" s="51">
        <f>(0.0+SUM($B51:S51))/(306+18)</f>
        <v/>
      </c>
      <c r="CH51" s="51">
        <f>(0.0+SUM($B51:T51))/(306+19)</f>
        <v/>
      </c>
      <c r="CI51" s="51">
        <f>(0.0+SUM($B51:U51))/(306+20)</f>
        <v/>
      </c>
      <c r="CJ51" s="51">
        <f>(0.0+SUM($B51:V51))/(306+21)</f>
        <v/>
      </c>
      <c r="CK51" s="51">
        <f>(0.0+SUM($B51:W51))/(306+22)</f>
        <v/>
      </c>
      <c r="CL51" s="51">
        <f>(0.0+SUM($B51:X51))/(306+23)</f>
        <v/>
      </c>
      <c r="CM51" s="51">
        <f>(0.0+SUM($B51:Y51))/(306+24)</f>
        <v/>
      </c>
      <c r="CN51" s="51">
        <f>(0.0+SUM($B51:Z51))/(306+25)</f>
        <v/>
      </c>
      <c r="CO51" s="51">
        <f>(0.0+SUM($B51:AA51))/(306+26)</f>
        <v/>
      </c>
      <c r="CP51" s="51">
        <f>(0.0+SUM($B51:AB51))/(306+27)</f>
        <v/>
      </c>
      <c r="CQ51" s="51">
        <f>(0.0+SUM($B51:AC51))/(306+28)</f>
        <v/>
      </c>
      <c r="CR51" s="51">
        <f>(0.0+SUM($B51:AD51))/(306+29)</f>
        <v/>
      </c>
      <c r="CS51" s="51" t="n"/>
      <c r="CT51" s="50" t="n"/>
      <c r="CU51" s="23" t="n"/>
      <c r="CV51" s="23" t="n"/>
      <c r="CW51" s="23" t="n"/>
      <c r="CY51" s="13" t="inlineStr">
        <is>
          <t>BCT</t>
        </is>
      </c>
      <c r="CZ51" s="51" t="n">
        <v>331.1788617886179</v>
      </c>
      <c r="DA51" s="51" t="n">
        <v>331.8548387096774</v>
      </c>
      <c r="DB51" s="51" t="n">
        <v>331.536</v>
      </c>
      <c r="DC51" s="51" t="n">
        <v>331.6825396825397</v>
      </c>
      <c r="DD51" s="51" t="n">
        <v>332.8818897637796</v>
      </c>
      <c r="DE51" s="51" t="n">
        <v>333.0546875</v>
      </c>
      <c r="DF51" s="51" t="n">
        <v>334.0077519379845</v>
      </c>
      <c r="DG51" s="51" t="n">
        <v>334.1923076923077</v>
      </c>
      <c r="DH51" s="51" t="n">
        <v>335.175572519084</v>
      </c>
      <c r="DI51" s="51" t="n">
        <v>334.8712121212121</v>
      </c>
      <c r="DJ51" s="51" t="n">
        <v>334.984962406015</v>
      </c>
      <c r="DK51" s="51" t="n">
        <v>334.8955223880597</v>
      </c>
      <c r="DL51" s="51" t="n">
        <v>334.7481481481482</v>
      </c>
      <c r="DM51" s="51" t="n">
        <v>335.4779411764706</v>
      </c>
      <c r="DN51" s="51" t="n">
        <v>335.2554744525547</v>
      </c>
      <c r="DO51" s="51" t="n">
        <v>335.2101449275362</v>
      </c>
      <c r="DP51" s="51" t="n">
        <v>335.2589928057554</v>
      </c>
      <c r="DQ51" s="51" t="n">
        <v>335.35</v>
      </c>
      <c r="DR51" s="51" t="n">
        <v>333.9290780141844</v>
      </c>
      <c r="DS51" s="51" t="n">
        <v>332.0422535211268</v>
      </c>
      <c r="DT51" s="51" t="n">
        <v>331.6083916083916</v>
      </c>
      <c r="DU51" s="51" t="n">
        <v>331.8819444444445</v>
      </c>
      <c r="DV51" s="51" t="n">
        <v>332.151724137931</v>
      </c>
      <c r="DW51" s="51" t="n">
        <v>332.7328767123288</v>
      </c>
      <c r="DX51" s="51" t="n">
        <v>332.1088435374149</v>
      </c>
      <c r="DY51" s="51" t="n">
        <v>332.2432432432432</v>
      </c>
      <c r="DZ51" s="51" t="n">
        <v>332.503355704698</v>
      </c>
      <c r="EA51" s="51" t="n">
        <v>332.9466666666667</v>
      </c>
      <c r="EB51" s="51" t="n">
        <v>333.0264900662252</v>
      </c>
      <c r="EC51" s="51" t="n">
        <v>332.9671052631579</v>
      </c>
      <c r="ED51" s="50" t="n">
        <v>333.0980392156863</v>
      </c>
    </row>
    <row r="52" ht="15.75" customHeight="1">
      <c r="A52" s="595" t="inlineStr">
        <is>
          <t>BRC</t>
        </is>
      </c>
      <c r="B52" s="594" t="n">
        <v>0</v>
      </c>
      <c r="C52" s="587" t="n">
        <v>0</v>
      </c>
      <c r="D52" s="587" t="n">
        <v>0</v>
      </c>
      <c r="E52" s="588" t="n">
        <v>0</v>
      </c>
      <c r="F52" s="587" t="n">
        <v>0</v>
      </c>
      <c r="G52" s="588" t="n">
        <v>0</v>
      </c>
      <c r="H52" s="588" t="n">
        <v>0</v>
      </c>
      <c r="I52" s="588" t="n">
        <v>0</v>
      </c>
      <c r="J52" s="588" t="n">
        <v>0</v>
      </c>
      <c r="K52" s="588" t="n">
        <v>0</v>
      </c>
      <c r="L52" s="588" t="n">
        <v>0</v>
      </c>
      <c r="M52" s="588" t="n">
        <v>0</v>
      </c>
      <c r="N52" s="588" t="n">
        <v>0</v>
      </c>
      <c r="O52" s="588" t="n">
        <v>0</v>
      </c>
      <c r="P52" s="588" t="n">
        <v>0</v>
      </c>
      <c r="Q52" s="588" t="n">
        <v>0</v>
      </c>
      <c r="R52" s="588" t="n">
        <v>0</v>
      </c>
      <c r="S52" s="588" t="n">
        <v>0</v>
      </c>
      <c r="T52" s="588" t="n">
        <v>0</v>
      </c>
      <c r="U52" s="588" t="n">
        <v>0</v>
      </c>
      <c r="V52" s="588" t="n">
        <v>0</v>
      </c>
      <c r="W52" s="588" t="n">
        <v>0</v>
      </c>
      <c r="X52" s="588" t="n">
        <v>0</v>
      </c>
      <c r="Y52" s="588" t="n">
        <v>0</v>
      </c>
      <c r="Z52" s="588" t="n">
        <v>0</v>
      </c>
      <c r="AA52" s="588" t="n">
        <v>0</v>
      </c>
      <c r="AB52" s="588" t="n">
        <v>0</v>
      </c>
      <c r="AC52" s="588" t="n">
        <v>0</v>
      </c>
      <c r="AD52" s="588" t="n">
        <v>0</v>
      </c>
      <c r="AE52" s="588" t="n"/>
      <c r="AF52" s="592" t="n"/>
      <c r="AH52" s="13" t="inlineStr">
        <is>
          <t>BRC</t>
        </is>
      </c>
      <c r="AI52" s="51">
        <f>SUM($B52:B52)/1</f>
        <v/>
      </c>
      <c r="AJ52" s="51">
        <f>SUM($B52:C52)/2</f>
        <v/>
      </c>
      <c r="AK52" s="51">
        <f>SUM($B52:D52)/3</f>
        <v/>
      </c>
      <c r="AL52" s="51">
        <f>SUM($B52:E52)/4</f>
        <v/>
      </c>
      <c r="AM52" s="51">
        <f>SUM($B52:F52)/5</f>
        <v/>
      </c>
      <c r="AN52" s="51">
        <f>SUM($B52:G52)/6</f>
        <v/>
      </c>
      <c r="AO52" s="51">
        <f>SUM($B52:H52)/7</f>
        <v/>
      </c>
      <c r="AP52" s="51">
        <f>SUM($B52:I52)/8</f>
        <v/>
      </c>
      <c r="AQ52" s="51">
        <f>SUM($B52:J52)/9</f>
        <v/>
      </c>
      <c r="AR52" s="51">
        <f>SUM($B52:K52)/10</f>
        <v/>
      </c>
      <c r="AS52" s="51">
        <f>SUM($B52:L52)/11</f>
        <v/>
      </c>
      <c r="AT52" s="51">
        <f>SUM($B52:M52)/12</f>
        <v/>
      </c>
      <c r="AU52" s="51">
        <f>SUM($B52:N52)/13</f>
        <v/>
      </c>
      <c r="AV52" s="51">
        <f>SUM($B52:O52)/14</f>
        <v/>
      </c>
      <c r="AW52" s="51">
        <f>SUM($B52:P52)/15</f>
        <v/>
      </c>
      <c r="AX52" s="51">
        <f>SUM($B52:Q52)/16</f>
        <v/>
      </c>
      <c r="AY52" s="51">
        <f>SUM($B52:R52)/17</f>
        <v/>
      </c>
      <c r="AZ52" s="51">
        <f>SUM($B52:S52)/18</f>
        <v/>
      </c>
      <c r="BA52" s="51">
        <f>SUM($B52:T52)/19</f>
        <v/>
      </c>
      <c r="BB52" s="51">
        <f>SUM($B52:U52)/20</f>
        <v/>
      </c>
      <c r="BC52" s="51">
        <f>SUM($B52:V52)/21</f>
        <v/>
      </c>
      <c r="BD52" s="51">
        <f>SUM($B52:W52)/22</f>
        <v/>
      </c>
      <c r="BE52" s="51">
        <f>SUM($B52:X52)/23</f>
        <v/>
      </c>
      <c r="BF52" s="51">
        <f>SUM($B52:Y52)/24</f>
        <v/>
      </c>
      <c r="BG52" s="51">
        <f>SUM($B52:Z52)/25</f>
        <v/>
      </c>
      <c r="BH52" s="51">
        <f>SUM($B52:AA52)/26</f>
        <v/>
      </c>
      <c r="BI52" s="51">
        <f>SUM($B52:AB52)/27</f>
        <v/>
      </c>
      <c r="BJ52" s="51">
        <f>SUM($B52:AC52)/28</f>
        <v/>
      </c>
      <c r="BK52" s="51">
        <f>SUM($B52:AD52)/29</f>
        <v/>
      </c>
      <c r="BL52" s="51" t="n"/>
      <c r="BM52" s="50" t="n"/>
      <c r="BO52" s="13" t="inlineStr">
        <is>
          <t>BRC</t>
        </is>
      </c>
      <c r="BP52" s="51">
        <f>(0.0+SUM($B52:B52))/(306+1)</f>
        <v/>
      </c>
      <c r="BQ52" s="51">
        <f>(0.0+SUM($B52:C52))/(306+2)</f>
        <v/>
      </c>
      <c r="BR52" s="51">
        <f>(0.0+SUM($B52:D52))/(306+3)</f>
        <v/>
      </c>
      <c r="BS52" s="51">
        <f>(0.0+SUM($B52:E52))/(306+4)</f>
        <v/>
      </c>
      <c r="BT52" s="51">
        <f>(0.0+SUM($B52:F52))/(306+5)</f>
        <v/>
      </c>
      <c r="BU52" s="51">
        <f>(0.0+SUM($B52:G52))/(306+6)</f>
        <v/>
      </c>
      <c r="BV52" s="51">
        <f>(0.0+SUM($B52:H52))/(306+7)</f>
        <v/>
      </c>
      <c r="BW52" s="51">
        <f>(0.0+SUM($B52:I52))/(306+8)</f>
        <v/>
      </c>
      <c r="BX52" s="51">
        <f>(0.0+SUM($B52:J52))/(306+9)</f>
        <v/>
      </c>
      <c r="BY52" s="51">
        <f>(0.0+SUM($B52:K52))/(306+10)</f>
        <v/>
      </c>
      <c r="BZ52" s="51">
        <f>(0.0+SUM($B52:L52))/(306+11)</f>
        <v/>
      </c>
      <c r="CA52" s="51">
        <f>(0.0+SUM($B52:M52))/(306+12)</f>
        <v/>
      </c>
      <c r="CB52" s="51">
        <f>(0.0+SUM($B52:N52))/(306+13)</f>
        <v/>
      </c>
      <c r="CC52" s="51">
        <f>(0.0+SUM($B52:O52))/(306+14)</f>
        <v/>
      </c>
      <c r="CD52" s="51">
        <f>(0.0+SUM($B52:P52))/(306+15)</f>
        <v/>
      </c>
      <c r="CE52" s="51">
        <f>(0.0+SUM($B52:Q52))/(306+16)</f>
        <v/>
      </c>
      <c r="CF52" s="51">
        <f>(0.0+SUM($B52:R52))/(306+17)</f>
        <v/>
      </c>
      <c r="CG52" s="51">
        <f>(0.0+SUM($B52:S52))/(306+18)</f>
        <v/>
      </c>
      <c r="CH52" s="51">
        <f>(0.0+SUM($B52:T52))/(306+19)</f>
        <v/>
      </c>
      <c r="CI52" s="51">
        <f>(0.0+SUM($B52:U52))/(306+20)</f>
        <v/>
      </c>
      <c r="CJ52" s="51">
        <f>(0.0+SUM($B52:V52))/(306+21)</f>
        <v/>
      </c>
      <c r="CK52" s="51">
        <f>(0.0+SUM($B52:W52))/(306+22)</f>
        <v/>
      </c>
      <c r="CL52" s="51">
        <f>(0.0+SUM($B52:X52))/(306+23)</f>
        <v/>
      </c>
      <c r="CM52" s="51">
        <f>(0.0+SUM($B52:Y52))/(306+24)</f>
        <v/>
      </c>
      <c r="CN52" s="51">
        <f>(0.0+SUM($B52:Z52))/(306+25)</f>
        <v/>
      </c>
      <c r="CO52" s="51">
        <f>(0.0+SUM($B52:AA52))/(306+26)</f>
        <v/>
      </c>
      <c r="CP52" s="51">
        <f>(0.0+SUM($B52:AB52))/(306+27)</f>
        <v/>
      </c>
      <c r="CQ52" s="51">
        <f>(0.0+SUM($B52:AC52))/(306+28)</f>
        <v/>
      </c>
      <c r="CR52" s="51">
        <f>(0.0+SUM($B52:AD52))/(306+29)</f>
        <v/>
      </c>
      <c r="CS52" s="51" t="n"/>
      <c r="CT52" s="50" t="n"/>
      <c r="CU52" s="23" t="n"/>
      <c r="CV52" s="23" t="n"/>
      <c r="CW52" s="23" t="n"/>
      <c r="CY52" s="13" t="inlineStr">
        <is>
          <t>BRC</t>
        </is>
      </c>
      <c r="CZ52" s="51" t="n">
        <v>696.5040650406504</v>
      </c>
      <c r="DA52" s="51" t="n">
        <v>698.6612903225806</v>
      </c>
      <c r="DB52" s="51" t="n">
        <v>699.4640000000001</v>
      </c>
      <c r="DC52" s="51" t="n">
        <v>700.2063492063492</v>
      </c>
      <c r="DD52" s="51" t="n">
        <v>699.6929133858267</v>
      </c>
      <c r="DE52" s="51" t="n">
        <v>700.8828125</v>
      </c>
      <c r="DF52" s="51" t="n">
        <v>699.3565891472869</v>
      </c>
      <c r="DG52" s="51" t="n">
        <v>698.3307692307692</v>
      </c>
      <c r="DH52" s="51" t="n">
        <v>698.0076335877862</v>
      </c>
      <c r="DI52" s="51" t="n">
        <v>697.9166666666666</v>
      </c>
      <c r="DJ52" s="51" t="n">
        <v>698.5864661654135</v>
      </c>
      <c r="DK52" s="51" t="n">
        <v>699.6641791044776</v>
      </c>
      <c r="DL52" s="51" t="n">
        <v>699.3777777777777</v>
      </c>
      <c r="DM52" s="51" t="n">
        <v>699.9191176470588</v>
      </c>
      <c r="DN52" s="51" t="n">
        <v>700.6058394160584</v>
      </c>
      <c r="DO52" s="51" t="n">
        <v>700.3695652173913</v>
      </c>
      <c r="DP52" s="51" t="n">
        <v>699.8561151079136</v>
      </c>
      <c r="DQ52" s="51" t="n">
        <v>699.6428571428571</v>
      </c>
      <c r="DR52" s="51" t="n">
        <v>701.0141843971631</v>
      </c>
      <c r="DS52" s="51" t="n">
        <v>699.9154929577464</v>
      </c>
      <c r="DT52" s="51" t="n">
        <v>699.9580419580419</v>
      </c>
      <c r="DU52" s="51" t="n">
        <v>700.7083333333334</v>
      </c>
      <c r="DV52" s="51" t="n">
        <v>701.7034482758621</v>
      </c>
      <c r="DW52" s="51" t="n">
        <v>702.6643835616438</v>
      </c>
      <c r="DX52" s="51" t="n">
        <v>705.7482993197278</v>
      </c>
      <c r="DY52" s="51" t="n">
        <v>706.9459459459459</v>
      </c>
      <c r="DZ52" s="51" t="n">
        <v>707.0335570469799</v>
      </c>
      <c r="EA52" s="51" t="n">
        <v>708.3266666666667</v>
      </c>
      <c r="EB52" s="51" t="n">
        <v>707.4701986754967</v>
      </c>
      <c r="EC52" s="51" t="n">
        <v>707.1184210526316</v>
      </c>
      <c r="ED52" s="50" t="n">
        <v>708.2156862745098</v>
      </c>
    </row>
    <row r="53" ht="15.75" customHeight="1">
      <c r="A53" s="595" t="inlineStr">
        <is>
          <t>RJT</t>
        </is>
      </c>
      <c r="B53" s="594" t="n">
        <v>0</v>
      </c>
      <c r="C53" s="587" t="n">
        <v>0</v>
      </c>
      <c r="D53" s="587" t="n">
        <v>0</v>
      </c>
      <c r="E53" s="588" t="n">
        <v>0</v>
      </c>
      <c r="F53" s="587" t="n">
        <v>0</v>
      </c>
      <c r="G53" s="588" t="n">
        <v>0</v>
      </c>
      <c r="H53" s="588" t="n">
        <v>0</v>
      </c>
      <c r="I53" s="588" t="n">
        <v>0</v>
      </c>
      <c r="J53" s="588" t="n">
        <v>0</v>
      </c>
      <c r="K53" s="588" t="n">
        <v>0</v>
      </c>
      <c r="L53" s="588" t="n">
        <v>0</v>
      </c>
      <c r="M53" s="588" t="n">
        <v>0</v>
      </c>
      <c r="N53" s="588" t="n">
        <v>0</v>
      </c>
      <c r="O53" s="588" t="n">
        <v>0</v>
      </c>
      <c r="P53" s="588" t="n">
        <v>0</v>
      </c>
      <c r="Q53" s="588" t="n">
        <v>0</v>
      </c>
      <c r="R53" s="588" t="n">
        <v>0</v>
      </c>
      <c r="S53" s="588" t="n">
        <v>0</v>
      </c>
      <c r="T53" s="588" t="n">
        <v>0</v>
      </c>
      <c r="U53" s="588" t="n">
        <v>0</v>
      </c>
      <c r="V53" s="588" t="n">
        <v>0</v>
      </c>
      <c r="W53" s="588" t="n">
        <v>0</v>
      </c>
      <c r="X53" s="588" t="n">
        <v>0</v>
      </c>
      <c r="Y53" s="588" t="n">
        <v>0</v>
      </c>
      <c r="Z53" s="588" t="n">
        <v>0</v>
      </c>
      <c r="AA53" s="588" t="n">
        <v>0</v>
      </c>
      <c r="AB53" s="588" t="n">
        <v>0</v>
      </c>
      <c r="AC53" s="588" t="n">
        <v>0</v>
      </c>
      <c r="AD53" s="588" t="n">
        <v>0</v>
      </c>
      <c r="AE53" s="588" t="n"/>
      <c r="AF53" s="592" t="n"/>
      <c r="AH53" s="13" t="inlineStr">
        <is>
          <t>RJT</t>
        </is>
      </c>
      <c r="AI53" s="51">
        <f>SUM($B53:B53)/1</f>
        <v/>
      </c>
      <c r="AJ53" s="51">
        <f>SUM($B53:C53)/2</f>
        <v/>
      </c>
      <c r="AK53" s="51">
        <f>SUM($B53:D53)/3</f>
        <v/>
      </c>
      <c r="AL53" s="51">
        <f>SUM($B53:E53)/4</f>
        <v/>
      </c>
      <c r="AM53" s="51">
        <f>SUM($B53:F53)/5</f>
        <v/>
      </c>
      <c r="AN53" s="51">
        <f>SUM($B53:G53)/6</f>
        <v/>
      </c>
      <c r="AO53" s="51">
        <f>SUM($B53:H53)/7</f>
        <v/>
      </c>
      <c r="AP53" s="51">
        <f>SUM($B53:I53)/8</f>
        <v/>
      </c>
      <c r="AQ53" s="51">
        <f>SUM($B53:J53)/9</f>
        <v/>
      </c>
      <c r="AR53" s="51">
        <f>SUM($B53:K53)/10</f>
        <v/>
      </c>
      <c r="AS53" s="51">
        <f>SUM($B53:L53)/11</f>
        <v/>
      </c>
      <c r="AT53" s="51">
        <f>SUM($B53:M53)/12</f>
        <v/>
      </c>
      <c r="AU53" s="51">
        <f>SUM($B53:N53)/13</f>
        <v/>
      </c>
      <c r="AV53" s="51">
        <f>SUM($B53:O53)/14</f>
        <v/>
      </c>
      <c r="AW53" s="51">
        <f>SUM($B53:P53)/15</f>
        <v/>
      </c>
      <c r="AX53" s="51">
        <f>SUM($B53:Q53)/16</f>
        <v/>
      </c>
      <c r="AY53" s="51">
        <f>SUM($B53:R53)/17</f>
        <v/>
      </c>
      <c r="AZ53" s="51">
        <f>SUM($B53:S53)/18</f>
        <v/>
      </c>
      <c r="BA53" s="51">
        <f>SUM($B53:T53)/19</f>
        <v/>
      </c>
      <c r="BB53" s="51">
        <f>SUM($B53:U53)/20</f>
        <v/>
      </c>
      <c r="BC53" s="51">
        <f>SUM($B53:V53)/21</f>
        <v/>
      </c>
      <c r="BD53" s="51">
        <f>SUM($B53:W53)/22</f>
        <v/>
      </c>
      <c r="BE53" s="51">
        <f>SUM($B53:X53)/23</f>
        <v/>
      </c>
      <c r="BF53" s="51">
        <f>SUM($B53:Y53)/24</f>
        <v/>
      </c>
      <c r="BG53" s="51">
        <f>SUM($B53:Z53)/25</f>
        <v/>
      </c>
      <c r="BH53" s="51">
        <f>SUM($B53:AA53)/26</f>
        <v/>
      </c>
      <c r="BI53" s="51">
        <f>SUM($B53:AB53)/27</f>
        <v/>
      </c>
      <c r="BJ53" s="51">
        <f>SUM($B53:AC53)/28</f>
        <v/>
      </c>
      <c r="BK53" s="51">
        <f>SUM($B53:AD53)/29</f>
        <v/>
      </c>
      <c r="BL53" s="51" t="n"/>
      <c r="BM53" s="50" t="n"/>
      <c r="BO53" s="13" t="inlineStr">
        <is>
          <t>RJT</t>
        </is>
      </c>
      <c r="BP53" s="51">
        <f>(0.0+SUM($B53:B53))/(306+1)</f>
        <v/>
      </c>
      <c r="BQ53" s="51">
        <f>(0.0+SUM($B53:C53))/(306+2)</f>
        <v/>
      </c>
      <c r="BR53" s="51">
        <f>(0.0+SUM($B53:D53))/(306+3)</f>
        <v/>
      </c>
      <c r="BS53" s="51">
        <f>(0.0+SUM($B53:E53))/(306+4)</f>
        <v/>
      </c>
      <c r="BT53" s="51">
        <f>(0.0+SUM($B53:F53))/(306+5)</f>
        <v/>
      </c>
      <c r="BU53" s="51">
        <f>(0.0+SUM($B53:G53))/(306+6)</f>
        <v/>
      </c>
      <c r="BV53" s="51">
        <f>(0.0+SUM($B53:H53))/(306+7)</f>
        <v/>
      </c>
      <c r="BW53" s="51">
        <f>(0.0+SUM($B53:I53))/(306+8)</f>
        <v/>
      </c>
      <c r="BX53" s="51">
        <f>(0.0+SUM($B53:J53))/(306+9)</f>
        <v/>
      </c>
      <c r="BY53" s="51">
        <f>(0.0+SUM($B53:K53))/(306+10)</f>
        <v/>
      </c>
      <c r="BZ53" s="51">
        <f>(0.0+SUM($B53:L53))/(306+11)</f>
        <v/>
      </c>
      <c r="CA53" s="51">
        <f>(0.0+SUM($B53:M53))/(306+12)</f>
        <v/>
      </c>
      <c r="CB53" s="51">
        <f>(0.0+SUM($B53:N53))/(306+13)</f>
        <v/>
      </c>
      <c r="CC53" s="51">
        <f>(0.0+SUM($B53:O53))/(306+14)</f>
        <v/>
      </c>
      <c r="CD53" s="51">
        <f>(0.0+SUM($B53:P53))/(306+15)</f>
        <v/>
      </c>
      <c r="CE53" s="51">
        <f>(0.0+SUM($B53:Q53))/(306+16)</f>
        <v/>
      </c>
      <c r="CF53" s="51">
        <f>(0.0+SUM($B53:R53))/(306+17)</f>
        <v/>
      </c>
      <c r="CG53" s="51">
        <f>(0.0+SUM($B53:S53))/(306+18)</f>
        <v/>
      </c>
      <c r="CH53" s="51">
        <f>(0.0+SUM($B53:T53))/(306+19)</f>
        <v/>
      </c>
      <c r="CI53" s="51">
        <f>(0.0+SUM($B53:U53))/(306+20)</f>
        <v/>
      </c>
      <c r="CJ53" s="51">
        <f>(0.0+SUM($B53:V53))/(306+21)</f>
        <v/>
      </c>
      <c r="CK53" s="51">
        <f>(0.0+SUM($B53:W53))/(306+22)</f>
        <v/>
      </c>
      <c r="CL53" s="51">
        <f>(0.0+SUM($B53:X53))/(306+23)</f>
        <v/>
      </c>
      <c r="CM53" s="51">
        <f>(0.0+SUM($B53:Y53))/(306+24)</f>
        <v/>
      </c>
      <c r="CN53" s="51">
        <f>(0.0+SUM($B53:Z53))/(306+25)</f>
        <v/>
      </c>
      <c r="CO53" s="51">
        <f>(0.0+SUM($B53:AA53))/(306+26)</f>
        <v/>
      </c>
      <c r="CP53" s="51">
        <f>(0.0+SUM($B53:AB53))/(306+27)</f>
        <v/>
      </c>
      <c r="CQ53" s="51">
        <f>(0.0+SUM($B53:AC53))/(306+28)</f>
        <v/>
      </c>
      <c r="CR53" s="51">
        <f>(0.0+SUM($B53:AD53))/(306+29)</f>
        <v/>
      </c>
      <c r="CS53" s="51" t="n"/>
      <c r="CT53" s="50" t="n"/>
      <c r="CU53" s="23" t="n"/>
      <c r="CV53" s="23" t="n"/>
      <c r="CW53" s="23" t="n"/>
      <c r="CY53" s="13" t="inlineStr">
        <is>
          <t>RJT</t>
        </is>
      </c>
      <c r="CZ53" s="51" t="n">
        <v>569.2845528455284</v>
      </c>
      <c r="DA53" s="51" t="n">
        <v>567.2983870967741</v>
      </c>
      <c r="DB53" s="51" t="n">
        <v>568.5119999999999</v>
      </c>
      <c r="DC53" s="51" t="n">
        <v>570.5396825396825</v>
      </c>
      <c r="DD53" s="51" t="n">
        <v>569.3937007874016</v>
      </c>
      <c r="DE53" s="51" t="n">
        <v>568.984375</v>
      </c>
      <c r="DF53" s="51" t="n">
        <v>568.8604651162791</v>
      </c>
      <c r="DG53" s="51" t="n">
        <v>569.1769230769231</v>
      </c>
      <c r="DH53" s="51" t="n">
        <v>569.9160305343512</v>
      </c>
      <c r="DI53" s="51" t="n">
        <v>570.1287878787879</v>
      </c>
      <c r="DJ53" s="51" t="n">
        <v>570.6165413533835</v>
      </c>
      <c r="DK53" s="51" t="n">
        <v>570.4850746268656</v>
      </c>
      <c r="DL53" s="51" t="n">
        <v>570.5259259259259</v>
      </c>
      <c r="DM53" s="51" t="n">
        <v>571.1470588235294</v>
      </c>
      <c r="DN53" s="51" t="n">
        <v>571.3868613138686</v>
      </c>
      <c r="DO53" s="51" t="n">
        <v>571.2536231884058</v>
      </c>
      <c r="DP53" s="51" t="n">
        <v>570.568345323741</v>
      </c>
      <c r="DQ53" s="51" t="n">
        <v>570.5571428571428</v>
      </c>
      <c r="DR53" s="51" t="n">
        <v>570.1418439716313</v>
      </c>
      <c r="DS53" s="51" t="n">
        <v>569.3943661971831</v>
      </c>
      <c r="DT53" s="51" t="n">
        <v>569.2797202797203</v>
      </c>
      <c r="DU53" s="51" t="n">
        <v>567.1597222222222</v>
      </c>
      <c r="DV53" s="51" t="n">
        <v>566.8551724137931</v>
      </c>
      <c r="DW53" s="51" t="n">
        <v>567.417808219178</v>
      </c>
      <c r="DX53" s="51" t="n">
        <v>567.1360544217687</v>
      </c>
      <c r="DY53" s="51" t="n">
        <v>567.0608108108108</v>
      </c>
      <c r="DZ53" s="51" t="n">
        <v>567.0872483221476</v>
      </c>
      <c r="EA53" s="51" t="n">
        <v>567.3333333333334</v>
      </c>
      <c r="EB53" s="51" t="n">
        <v>568.6423841059602</v>
      </c>
      <c r="EC53" s="51" t="n">
        <v>569.0065789473684</v>
      </c>
      <c r="ED53" s="50" t="n">
        <v>569.124183006536</v>
      </c>
    </row>
    <row r="54" ht="15.75" customHeight="1">
      <c r="A54" s="595" t="inlineStr">
        <is>
          <t>BVP</t>
        </is>
      </c>
      <c r="B54" s="594" t="n">
        <v>0</v>
      </c>
      <c r="C54" s="587" t="n">
        <v>0</v>
      </c>
      <c r="D54" s="587" t="n">
        <v>0</v>
      </c>
      <c r="E54" s="588" t="n">
        <v>0</v>
      </c>
      <c r="F54" s="587" t="n">
        <v>0</v>
      </c>
      <c r="G54" s="588" t="n">
        <v>0</v>
      </c>
      <c r="H54" s="588" t="n">
        <v>0</v>
      </c>
      <c r="I54" s="588" t="n">
        <v>0</v>
      </c>
      <c r="J54" s="588" t="n">
        <v>0</v>
      </c>
      <c r="K54" s="588" t="n">
        <v>0</v>
      </c>
      <c r="L54" s="588" t="n">
        <v>0</v>
      </c>
      <c r="M54" s="588" t="n">
        <v>0</v>
      </c>
      <c r="N54" s="588" t="n">
        <v>0</v>
      </c>
      <c r="O54" s="588" t="n">
        <v>0</v>
      </c>
      <c r="P54" s="588" t="n">
        <v>0</v>
      </c>
      <c r="Q54" s="588" t="n">
        <v>0</v>
      </c>
      <c r="R54" s="588" t="n">
        <v>0</v>
      </c>
      <c r="S54" s="588" t="n">
        <v>0</v>
      </c>
      <c r="T54" s="588" t="n">
        <v>0</v>
      </c>
      <c r="U54" s="588" t="n">
        <v>0</v>
      </c>
      <c r="V54" s="588" t="n">
        <v>0</v>
      </c>
      <c r="W54" s="588" t="n">
        <v>0</v>
      </c>
      <c r="X54" s="588" t="n">
        <v>0</v>
      </c>
      <c r="Y54" s="588" t="n">
        <v>0</v>
      </c>
      <c r="Z54" s="588" t="n">
        <v>0</v>
      </c>
      <c r="AA54" s="588" t="n">
        <v>0</v>
      </c>
      <c r="AB54" s="588" t="n">
        <v>0</v>
      </c>
      <c r="AC54" s="588" t="n">
        <v>0</v>
      </c>
      <c r="AD54" s="588" t="n">
        <v>0</v>
      </c>
      <c r="AE54" s="588" t="n"/>
      <c r="AF54" s="592" t="n"/>
      <c r="AH54" s="13" t="inlineStr">
        <is>
          <t>BVP</t>
        </is>
      </c>
      <c r="AI54" s="51">
        <f>SUM($B54:B54)/1</f>
        <v/>
      </c>
      <c r="AJ54" s="51">
        <f>SUM($B54:C54)/2</f>
        <v/>
      </c>
      <c r="AK54" s="51">
        <f>SUM($B54:D54)/3</f>
        <v/>
      </c>
      <c r="AL54" s="51">
        <f>SUM($B54:E54)/4</f>
        <v/>
      </c>
      <c r="AM54" s="51">
        <f>SUM($B54:F54)/5</f>
        <v/>
      </c>
      <c r="AN54" s="51">
        <f>SUM($B54:G54)/6</f>
        <v/>
      </c>
      <c r="AO54" s="51">
        <f>SUM($B54:H54)/7</f>
        <v/>
      </c>
      <c r="AP54" s="51">
        <f>SUM($B54:I54)/8</f>
        <v/>
      </c>
      <c r="AQ54" s="51">
        <f>SUM($B54:J54)/9</f>
        <v/>
      </c>
      <c r="AR54" s="51">
        <f>SUM($B54:K54)/10</f>
        <v/>
      </c>
      <c r="AS54" s="51">
        <f>SUM($B54:L54)/11</f>
        <v/>
      </c>
      <c r="AT54" s="51">
        <f>SUM($B54:M54)/12</f>
        <v/>
      </c>
      <c r="AU54" s="51">
        <f>SUM($B54:N54)/13</f>
        <v/>
      </c>
      <c r="AV54" s="51">
        <f>SUM($B54:O54)/14</f>
        <v/>
      </c>
      <c r="AW54" s="51">
        <f>SUM($B54:P54)/15</f>
        <v/>
      </c>
      <c r="AX54" s="51">
        <f>SUM($B54:Q54)/16</f>
        <v/>
      </c>
      <c r="AY54" s="51">
        <f>SUM($B54:R54)/17</f>
        <v/>
      </c>
      <c r="AZ54" s="51">
        <f>SUM($B54:S54)/18</f>
        <v/>
      </c>
      <c r="BA54" s="51">
        <f>SUM($B54:T54)/19</f>
        <v/>
      </c>
      <c r="BB54" s="51">
        <f>SUM($B54:U54)/20</f>
        <v/>
      </c>
      <c r="BC54" s="51">
        <f>SUM($B54:V54)/21</f>
        <v/>
      </c>
      <c r="BD54" s="51">
        <f>SUM($B54:W54)/22</f>
        <v/>
      </c>
      <c r="BE54" s="51">
        <f>SUM($B54:X54)/23</f>
        <v/>
      </c>
      <c r="BF54" s="51">
        <f>SUM($B54:Y54)/24</f>
        <v/>
      </c>
      <c r="BG54" s="51">
        <f>SUM($B54:Z54)/25</f>
        <v/>
      </c>
      <c r="BH54" s="51">
        <f>SUM($B54:AA54)/26</f>
        <v/>
      </c>
      <c r="BI54" s="51">
        <f>SUM($B54:AB54)/27</f>
        <v/>
      </c>
      <c r="BJ54" s="51">
        <f>SUM($B54:AC54)/28</f>
        <v/>
      </c>
      <c r="BK54" s="51">
        <f>SUM($B54:AD54)/29</f>
        <v/>
      </c>
      <c r="BL54" s="51" t="n"/>
      <c r="BM54" s="50" t="n"/>
      <c r="BO54" s="13" t="inlineStr">
        <is>
          <t>BVP</t>
        </is>
      </c>
      <c r="BP54" s="51">
        <f>(0.0+SUM($B54:B54))/(306+1)</f>
        <v/>
      </c>
      <c r="BQ54" s="51">
        <f>(0.0+SUM($B54:C54))/(306+2)</f>
        <v/>
      </c>
      <c r="BR54" s="51">
        <f>(0.0+SUM($B54:D54))/(306+3)</f>
        <v/>
      </c>
      <c r="BS54" s="51">
        <f>(0.0+SUM($B54:E54))/(306+4)</f>
        <v/>
      </c>
      <c r="BT54" s="51">
        <f>(0.0+SUM($B54:F54))/(306+5)</f>
        <v/>
      </c>
      <c r="BU54" s="51">
        <f>(0.0+SUM($B54:G54))/(306+6)</f>
        <v/>
      </c>
      <c r="BV54" s="51">
        <f>(0.0+SUM($B54:H54))/(306+7)</f>
        <v/>
      </c>
      <c r="BW54" s="51">
        <f>(0.0+SUM($B54:I54))/(306+8)</f>
        <v/>
      </c>
      <c r="BX54" s="51">
        <f>(0.0+SUM($B54:J54))/(306+9)</f>
        <v/>
      </c>
      <c r="BY54" s="51">
        <f>(0.0+SUM($B54:K54))/(306+10)</f>
        <v/>
      </c>
      <c r="BZ54" s="51">
        <f>(0.0+SUM($B54:L54))/(306+11)</f>
        <v/>
      </c>
      <c r="CA54" s="51">
        <f>(0.0+SUM($B54:M54))/(306+12)</f>
        <v/>
      </c>
      <c r="CB54" s="51">
        <f>(0.0+SUM($B54:N54))/(306+13)</f>
        <v/>
      </c>
      <c r="CC54" s="51">
        <f>(0.0+SUM($B54:O54))/(306+14)</f>
        <v/>
      </c>
      <c r="CD54" s="51">
        <f>(0.0+SUM($B54:P54))/(306+15)</f>
        <v/>
      </c>
      <c r="CE54" s="51">
        <f>(0.0+SUM($B54:Q54))/(306+16)</f>
        <v/>
      </c>
      <c r="CF54" s="51">
        <f>(0.0+SUM($B54:R54))/(306+17)</f>
        <v/>
      </c>
      <c r="CG54" s="51">
        <f>(0.0+SUM($B54:S54))/(306+18)</f>
        <v/>
      </c>
      <c r="CH54" s="51">
        <f>(0.0+SUM($B54:T54))/(306+19)</f>
        <v/>
      </c>
      <c r="CI54" s="51">
        <f>(0.0+SUM($B54:U54))/(306+20)</f>
        <v/>
      </c>
      <c r="CJ54" s="51">
        <f>(0.0+SUM($B54:V54))/(306+21)</f>
        <v/>
      </c>
      <c r="CK54" s="51">
        <f>(0.0+SUM($B54:W54))/(306+22)</f>
        <v/>
      </c>
      <c r="CL54" s="51">
        <f>(0.0+SUM($B54:X54))/(306+23)</f>
        <v/>
      </c>
      <c r="CM54" s="51">
        <f>(0.0+SUM($B54:Y54))/(306+24)</f>
        <v/>
      </c>
      <c r="CN54" s="51">
        <f>(0.0+SUM($B54:Z54))/(306+25)</f>
        <v/>
      </c>
      <c r="CO54" s="51">
        <f>(0.0+SUM($B54:AA54))/(306+26)</f>
        <v/>
      </c>
      <c r="CP54" s="51">
        <f>(0.0+SUM($B54:AB54))/(306+27)</f>
        <v/>
      </c>
      <c r="CQ54" s="51">
        <f>(0.0+SUM($B54:AC54))/(306+28)</f>
        <v/>
      </c>
      <c r="CR54" s="51">
        <f>(0.0+SUM($B54:AD54))/(306+29)</f>
        <v/>
      </c>
      <c r="CS54" s="51" t="n"/>
      <c r="CT54" s="50" t="n"/>
      <c r="CU54" s="23" t="n"/>
      <c r="CV54" s="23" t="n"/>
      <c r="CW54" s="23" t="n"/>
      <c r="CY54" s="13" t="inlineStr">
        <is>
          <t>BVP</t>
        </is>
      </c>
      <c r="CZ54" s="51" t="n">
        <v>352.4878048780488</v>
      </c>
      <c r="DA54" s="51" t="n">
        <v>352.6854838709677</v>
      </c>
      <c r="DB54" s="51" t="n">
        <v>352.76</v>
      </c>
      <c r="DC54" s="51" t="n">
        <v>353.6587301587302</v>
      </c>
      <c r="DD54" s="51" t="n">
        <v>353.9212598425197</v>
      </c>
      <c r="DE54" s="51" t="n">
        <v>354.1875</v>
      </c>
      <c r="DF54" s="51" t="n">
        <v>355.4961240310078</v>
      </c>
      <c r="DG54" s="51" t="n">
        <v>356.2</v>
      </c>
      <c r="DH54" s="51" t="n">
        <v>356.7709923664122</v>
      </c>
      <c r="DI54" s="51" t="n">
        <v>356.5909090909091</v>
      </c>
      <c r="DJ54" s="51" t="n">
        <v>356.0977443609023</v>
      </c>
      <c r="DK54" s="51" t="n">
        <v>355.2238805970149</v>
      </c>
      <c r="DL54" s="51" t="n">
        <v>354.6074074074074</v>
      </c>
      <c r="DM54" s="51" t="n">
        <v>356.6323529411765</v>
      </c>
      <c r="DN54" s="51" t="n">
        <v>356.6204379562044</v>
      </c>
      <c r="DO54" s="51" t="n">
        <v>356.0797101449276</v>
      </c>
      <c r="DP54" s="51" t="n">
        <v>356.4028776978417</v>
      </c>
      <c r="DQ54" s="51" t="n">
        <v>355.3071428571429</v>
      </c>
      <c r="DR54" s="51" t="n">
        <v>354.7234042553192</v>
      </c>
      <c r="DS54" s="51" t="n">
        <v>353.6408450704225</v>
      </c>
      <c r="DT54" s="51" t="n">
        <v>353.7342657342658</v>
      </c>
      <c r="DU54" s="51" t="n">
        <v>353.4027777777778</v>
      </c>
      <c r="DV54" s="51" t="n">
        <v>353.7724137931035</v>
      </c>
      <c r="DW54" s="51" t="n">
        <v>354.027397260274</v>
      </c>
      <c r="DX54" s="51" t="n">
        <v>354.4285714285714</v>
      </c>
      <c r="DY54" s="51" t="n">
        <v>353.972972972973</v>
      </c>
      <c r="DZ54" s="51" t="n">
        <v>354.0335570469799</v>
      </c>
      <c r="EA54" s="51" t="n">
        <v>354.3</v>
      </c>
      <c r="EB54" s="51" t="n">
        <v>354.0728476821192</v>
      </c>
      <c r="EC54" s="51" t="n">
        <v>354.6973684210527</v>
      </c>
      <c r="ED54" s="50" t="n">
        <v>355.4052287581699</v>
      </c>
    </row>
    <row r="55" ht="16.5" customHeight="1" thickBot="1">
      <c r="A55" s="596" t="inlineStr">
        <is>
          <t>RTM</t>
        </is>
      </c>
      <c r="B55" s="594" t="n">
        <v>0</v>
      </c>
      <c r="C55" s="587" t="n">
        <v>0</v>
      </c>
      <c r="D55" s="587" t="n">
        <v>0</v>
      </c>
      <c r="E55" s="588" t="n">
        <v>0</v>
      </c>
      <c r="F55" s="587" t="n">
        <v>0</v>
      </c>
      <c r="G55" s="588" t="n">
        <v>0</v>
      </c>
      <c r="H55" s="588" t="n">
        <v>0</v>
      </c>
      <c r="I55" s="588" t="n">
        <v>0</v>
      </c>
      <c r="J55" s="588" t="n">
        <v>0</v>
      </c>
      <c r="K55" s="588" t="n">
        <v>0</v>
      </c>
      <c r="L55" s="588" t="n">
        <v>0</v>
      </c>
      <c r="M55" s="588" t="n">
        <v>0</v>
      </c>
      <c r="N55" s="588" t="n">
        <v>0</v>
      </c>
      <c r="O55" s="588" t="n">
        <v>0</v>
      </c>
      <c r="P55" s="588" t="n">
        <v>0</v>
      </c>
      <c r="Q55" s="588" t="n">
        <v>0</v>
      </c>
      <c r="R55" s="588" t="n">
        <v>0</v>
      </c>
      <c r="S55" s="588" t="n">
        <v>0</v>
      </c>
      <c r="T55" s="588" t="n">
        <v>0</v>
      </c>
      <c r="U55" s="588" t="n">
        <v>0</v>
      </c>
      <c r="V55" s="588" t="n">
        <v>0</v>
      </c>
      <c r="W55" s="588" t="n">
        <v>0</v>
      </c>
      <c r="X55" s="588" t="n">
        <v>0</v>
      </c>
      <c r="Y55" s="588" t="n">
        <v>0</v>
      </c>
      <c r="Z55" s="588" t="n">
        <v>0</v>
      </c>
      <c r="AA55" s="588" t="n">
        <v>0</v>
      </c>
      <c r="AB55" s="588" t="n">
        <v>0</v>
      </c>
      <c r="AC55" s="588" t="n">
        <v>0</v>
      </c>
      <c r="AD55" s="588" t="n">
        <v>0</v>
      </c>
      <c r="AE55" s="588" t="n"/>
      <c r="AF55" s="592" t="n"/>
      <c r="AH55" s="19" t="inlineStr">
        <is>
          <t>RTM</t>
        </is>
      </c>
      <c r="AI55" s="51">
        <f>SUM($B55:B55)/1</f>
        <v/>
      </c>
      <c r="AJ55" s="51">
        <f>SUM($B55:C55)/2</f>
        <v/>
      </c>
      <c r="AK55" s="51">
        <f>SUM($B55:D55)/3</f>
        <v/>
      </c>
      <c r="AL55" s="51">
        <f>SUM($B55:E55)/4</f>
        <v/>
      </c>
      <c r="AM55" s="51">
        <f>SUM($B55:F55)/5</f>
        <v/>
      </c>
      <c r="AN55" s="51">
        <f>SUM($B55:G55)/6</f>
        <v/>
      </c>
      <c r="AO55" s="51">
        <f>SUM($B55:H55)/7</f>
        <v/>
      </c>
      <c r="AP55" s="51">
        <f>SUM($B55:I55)/8</f>
        <v/>
      </c>
      <c r="AQ55" s="51">
        <f>SUM($B55:J55)/9</f>
        <v/>
      </c>
      <c r="AR55" s="51">
        <f>SUM($B55:K55)/10</f>
        <v/>
      </c>
      <c r="AS55" s="51">
        <f>SUM($B55:L55)/11</f>
        <v/>
      </c>
      <c r="AT55" s="51">
        <f>SUM($B55:M55)/12</f>
        <v/>
      </c>
      <c r="AU55" s="51">
        <f>SUM($B55:N55)/13</f>
        <v/>
      </c>
      <c r="AV55" s="51">
        <f>SUM($B55:O55)/14</f>
        <v/>
      </c>
      <c r="AW55" s="51">
        <f>SUM($B55:P55)/15</f>
        <v/>
      </c>
      <c r="AX55" s="51">
        <f>SUM($B55:Q55)/16</f>
        <v/>
      </c>
      <c r="AY55" s="51">
        <f>SUM($B55:R55)/17</f>
        <v/>
      </c>
      <c r="AZ55" s="51">
        <f>SUM($B55:S55)/18</f>
        <v/>
      </c>
      <c r="BA55" s="51">
        <f>SUM($B55:T55)/19</f>
        <v/>
      </c>
      <c r="BB55" s="51">
        <f>SUM($B55:U55)/20</f>
        <v/>
      </c>
      <c r="BC55" s="51">
        <f>SUM($B55:V55)/21</f>
        <v/>
      </c>
      <c r="BD55" s="51">
        <f>SUM($B55:W55)/22</f>
        <v/>
      </c>
      <c r="BE55" s="51">
        <f>SUM($B55:X55)/23</f>
        <v/>
      </c>
      <c r="BF55" s="51">
        <f>SUM($B55:Y55)/24</f>
        <v/>
      </c>
      <c r="BG55" s="51">
        <f>SUM($B55:Z55)/25</f>
        <v/>
      </c>
      <c r="BH55" s="51">
        <f>SUM($B55:AA55)/26</f>
        <v/>
      </c>
      <c r="BI55" s="51">
        <f>SUM($B55:AB55)/27</f>
        <v/>
      </c>
      <c r="BJ55" s="51">
        <f>SUM($B55:AC55)/28</f>
        <v/>
      </c>
      <c r="BK55" s="51">
        <f>SUM($B55:AD55)/29</f>
        <v/>
      </c>
      <c r="BL55" s="51" t="n"/>
      <c r="BM55" s="50" t="n"/>
      <c r="BO55" s="19" t="inlineStr">
        <is>
          <t>RTM</t>
        </is>
      </c>
      <c r="BP55" s="51">
        <f>(0.0+SUM($B55:B55))/(306+1)</f>
        <v/>
      </c>
      <c r="BQ55" s="51">
        <f>(0.0+SUM($B55:C55))/(306+2)</f>
        <v/>
      </c>
      <c r="BR55" s="51">
        <f>(0.0+SUM($B55:D55))/(306+3)</f>
        <v/>
      </c>
      <c r="BS55" s="51">
        <f>(0.0+SUM($B55:E55))/(306+4)</f>
        <v/>
      </c>
      <c r="BT55" s="51">
        <f>(0.0+SUM($B55:F55))/(306+5)</f>
        <v/>
      </c>
      <c r="BU55" s="51">
        <f>(0.0+SUM($B55:G55))/(306+6)</f>
        <v/>
      </c>
      <c r="BV55" s="51">
        <f>(0.0+SUM($B55:H55))/(306+7)</f>
        <v/>
      </c>
      <c r="BW55" s="51">
        <f>(0.0+SUM($B55:I55))/(306+8)</f>
        <v/>
      </c>
      <c r="BX55" s="51">
        <f>(0.0+SUM($B55:J55))/(306+9)</f>
        <v/>
      </c>
      <c r="BY55" s="51">
        <f>(0.0+SUM($B55:K55))/(306+10)</f>
        <v/>
      </c>
      <c r="BZ55" s="51">
        <f>(0.0+SUM($B55:L55))/(306+11)</f>
        <v/>
      </c>
      <c r="CA55" s="51">
        <f>(0.0+SUM($B55:M55))/(306+12)</f>
        <v/>
      </c>
      <c r="CB55" s="51">
        <f>(0.0+SUM($B55:N55))/(306+13)</f>
        <v/>
      </c>
      <c r="CC55" s="51">
        <f>(0.0+SUM($B55:O55))/(306+14)</f>
        <v/>
      </c>
      <c r="CD55" s="51">
        <f>(0.0+SUM($B55:P55))/(306+15)</f>
        <v/>
      </c>
      <c r="CE55" s="51">
        <f>(0.0+SUM($B55:Q55))/(306+16)</f>
        <v/>
      </c>
      <c r="CF55" s="51">
        <f>(0.0+SUM($B55:R55))/(306+17)</f>
        <v/>
      </c>
      <c r="CG55" s="51">
        <f>(0.0+SUM($B55:S55))/(306+18)</f>
        <v/>
      </c>
      <c r="CH55" s="51">
        <f>(0.0+SUM($B55:T55))/(306+19)</f>
        <v/>
      </c>
      <c r="CI55" s="51">
        <f>(0.0+SUM($B55:U55))/(306+20)</f>
        <v/>
      </c>
      <c r="CJ55" s="51">
        <f>(0.0+SUM($B55:V55))/(306+21)</f>
        <v/>
      </c>
      <c r="CK55" s="51">
        <f>(0.0+SUM($B55:W55))/(306+22)</f>
        <v/>
      </c>
      <c r="CL55" s="51">
        <f>(0.0+SUM($B55:X55))/(306+23)</f>
        <v/>
      </c>
      <c r="CM55" s="51">
        <f>(0.0+SUM($B55:Y55))/(306+24)</f>
        <v/>
      </c>
      <c r="CN55" s="51">
        <f>(0.0+SUM($B55:Z55))/(306+25)</f>
        <v/>
      </c>
      <c r="CO55" s="51">
        <f>(0.0+SUM($B55:AA55))/(306+26)</f>
        <v/>
      </c>
      <c r="CP55" s="51">
        <f>(0.0+SUM($B55:AB55))/(306+27)</f>
        <v/>
      </c>
      <c r="CQ55" s="51">
        <f>(0.0+SUM($B55:AC55))/(306+28)</f>
        <v/>
      </c>
      <c r="CR55" s="51">
        <f>(0.0+SUM($B55:AD55))/(306+29)</f>
        <v/>
      </c>
      <c r="CS55" s="51" t="n"/>
      <c r="CT55" s="50" t="n"/>
      <c r="CU55" s="23" t="n"/>
      <c r="CV55" s="23" t="n"/>
      <c r="CW55" s="23" t="n"/>
      <c r="CY55" s="19" t="inlineStr">
        <is>
          <t>RTM</t>
        </is>
      </c>
      <c r="CZ55" s="51" t="n">
        <v>784.910569105691</v>
      </c>
      <c r="DA55" s="51" t="n">
        <v>785.0403225806451</v>
      </c>
      <c r="DB55" s="51" t="n">
        <v>785.904</v>
      </c>
      <c r="DC55" s="51" t="n">
        <v>785.0396825396825</v>
      </c>
      <c r="DD55" s="51" t="n">
        <v>784.1496062992126</v>
      </c>
      <c r="DE55" s="51" t="n">
        <v>783.5078125</v>
      </c>
      <c r="DF55" s="51" t="n">
        <v>783.7596899224807</v>
      </c>
      <c r="DG55" s="51" t="n">
        <v>783.0307692307692</v>
      </c>
      <c r="DH55" s="51" t="n">
        <v>781.0992366412214</v>
      </c>
      <c r="DI55" s="51" t="n">
        <v>779.2727272727273</v>
      </c>
      <c r="DJ55" s="51" t="n">
        <v>778.1654135338346</v>
      </c>
      <c r="DK55" s="51" t="n">
        <v>776.4477611940298</v>
      </c>
      <c r="DL55" s="51" t="n">
        <v>775.5407407407407</v>
      </c>
      <c r="DM55" s="51" t="n">
        <v>774.8235294117648</v>
      </c>
      <c r="DN55" s="51" t="n">
        <v>773.1751824817518</v>
      </c>
      <c r="DO55" s="51" t="n">
        <v>771.7028985507246</v>
      </c>
      <c r="DP55" s="51" t="n">
        <v>769.6187050359712</v>
      </c>
      <c r="DQ55" s="51" t="n">
        <v>768.3571428571429</v>
      </c>
      <c r="DR55" s="51" t="n">
        <v>766.7659574468086</v>
      </c>
      <c r="DS55" s="51" t="n">
        <v>766.3239436619718</v>
      </c>
      <c r="DT55" s="51" t="n">
        <v>765.7272727272727</v>
      </c>
      <c r="DU55" s="51" t="n">
        <v>767.1111111111111</v>
      </c>
      <c r="DV55" s="51" t="n">
        <v>766.5931034482759</v>
      </c>
      <c r="DW55" s="51" t="n">
        <v>765.3972602739726</v>
      </c>
      <c r="DX55" s="51" t="n">
        <v>765.1496598639455</v>
      </c>
      <c r="DY55" s="51" t="n">
        <v>764.25</v>
      </c>
      <c r="DZ55" s="51" t="n">
        <v>763.9865771812081</v>
      </c>
      <c r="EA55" s="51" t="n">
        <v>763.9466666666667</v>
      </c>
      <c r="EB55" s="51" t="n">
        <v>762.9735099337748</v>
      </c>
      <c r="EC55" s="51" t="n">
        <v>762.5328947368421</v>
      </c>
      <c r="ED55" s="50" t="n">
        <v>762.6666666666666</v>
      </c>
    </row>
    <row r="56" ht="16.5" customHeight="1" thickBot="1">
      <c r="A56" s="597" t="inlineStr">
        <is>
          <t>TOTAL</t>
        </is>
      </c>
      <c r="B56" s="625">
        <f>SUM(B49:B55)</f>
        <v/>
      </c>
      <c r="C56" s="625">
        <f>SUM(C49:C55)</f>
        <v/>
      </c>
      <c r="D56" s="625">
        <f>SUM(D49:D55)</f>
        <v/>
      </c>
      <c r="E56" s="625">
        <f>SUM(E49:E55)</f>
        <v/>
      </c>
      <c r="F56" s="625">
        <f>SUM(F49:F55)</f>
        <v/>
      </c>
      <c r="G56" s="625">
        <f>SUM(G49:G55)</f>
        <v/>
      </c>
      <c r="H56" s="625">
        <f>SUM(H49:H55)</f>
        <v/>
      </c>
      <c r="I56" s="625">
        <f>SUM(I49:I55)</f>
        <v/>
      </c>
      <c r="J56" s="625">
        <f>SUM(J49:J55)</f>
        <v/>
      </c>
      <c r="K56" s="625">
        <f>SUM(K49:K55)</f>
        <v/>
      </c>
      <c r="L56" s="625">
        <f>SUM(L49:L55)</f>
        <v/>
      </c>
      <c r="M56" s="625">
        <f>SUM(M49:M55)</f>
        <v/>
      </c>
      <c r="N56" s="625">
        <f>SUM(N49:N55)</f>
        <v/>
      </c>
      <c r="O56" s="625">
        <f>SUM(O49:O55)</f>
        <v/>
      </c>
      <c r="P56" s="625">
        <f>SUM(P49:P55)</f>
        <v/>
      </c>
      <c r="Q56" s="625">
        <f>SUM(Q49:Q55)</f>
        <v/>
      </c>
      <c r="R56" s="625">
        <f>SUM(R49:R55)</f>
        <v/>
      </c>
      <c r="S56" s="625">
        <f>SUM(S49:S55)</f>
        <v/>
      </c>
      <c r="T56" s="625">
        <f>SUM(T49:T55)</f>
        <v/>
      </c>
      <c r="U56" s="625">
        <f>SUM(U49:U55)</f>
        <v/>
      </c>
      <c r="V56" s="625">
        <f>SUM(V49:V55)</f>
        <v/>
      </c>
      <c r="W56" s="625">
        <f>SUM(W49:W55)</f>
        <v/>
      </c>
      <c r="X56" s="625">
        <f>SUM(X49:X55)</f>
        <v/>
      </c>
      <c r="Y56" s="625">
        <f>SUM(Y49:Y55)</f>
        <v/>
      </c>
      <c r="Z56" s="625">
        <f>SUM(Z49:Z55)</f>
        <v/>
      </c>
      <c r="AA56" s="625">
        <f>SUM(AA49:AA55)</f>
        <v/>
      </c>
      <c r="AB56" s="625">
        <f>SUM(AB49:AB55)</f>
        <v/>
      </c>
      <c r="AC56" s="625">
        <f>SUM(AC49:AC55)</f>
        <v/>
      </c>
      <c r="AD56" s="625">
        <f>SUM(AD49:AD55)</f>
        <v/>
      </c>
      <c r="AE56" s="625" t="n"/>
      <c r="AF56" s="625" t="n"/>
      <c r="AH56" s="11" t="inlineStr">
        <is>
          <t>TOTAL</t>
        </is>
      </c>
      <c r="AI56" s="46">
        <f>SUM(AI49:AI55)</f>
        <v/>
      </c>
      <c r="AJ56" s="46">
        <f>SUM(AJ49:AJ55)</f>
        <v/>
      </c>
      <c r="AK56" s="46">
        <f>SUM(AK49:AK55)</f>
        <v/>
      </c>
      <c r="AL56" s="46">
        <f>SUM(AL49:AL55)</f>
        <v/>
      </c>
      <c r="AM56" s="46">
        <f>SUM(AM49:AM55)</f>
        <v/>
      </c>
      <c r="AN56" s="46">
        <f>SUM(AN49:AN55)</f>
        <v/>
      </c>
      <c r="AO56" s="46">
        <f>SUM(AO49:AO55)</f>
        <v/>
      </c>
      <c r="AP56" s="46">
        <f>SUM(AP49:AP55)</f>
        <v/>
      </c>
      <c r="AQ56" s="46">
        <f>SUM(AQ49:AQ55)</f>
        <v/>
      </c>
      <c r="AR56" s="46">
        <f>SUM(AR49:AR55)</f>
        <v/>
      </c>
      <c r="AS56" s="46">
        <f>SUM(AS49:AS55)</f>
        <v/>
      </c>
      <c r="AT56" s="46">
        <f>SUM(AT49:AT55)</f>
        <v/>
      </c>
      <c r="AU56" s="46">
        <f>SUM(AU49:AU55)</f>
        <v/>
      </c>
      <c r="AV56" s="46">
        <f>SUM(AV49:AV55)</f>
        <v/>
      </c>
      <c r="AW56" s="46">
        <f>SUM(AW49:AW55)</f>
        <v/>
      </c>
      <c r="AX56" s="46">
        <f>SUM(AX49:AX55)</f>
        <v/>
      </c>
      <c r="AY56" s="46">
        <f>SUM(AY49:AY55)</f>
        <v/>
      </c>
      <c r="AZ56" s="46">
        <f>SUM(AZ49:AZ55)</f>
        <v/>
      </c>
      <c r="BA56" s="46">
        <f>SUM(BA49:BA55)</f>
        <v/>
      </c>
      <c r="BB56" s="46">
        <f>SUM(BB49:BB55)</f>
        <v/>
      </c>
      <c r="BC56" s="46">
        <f>SUM(BC49:BC55)</f>
        <v/>
      </c>
      <c r="BD56" s="46">
        <f>SUM(BD49:BD55)</f>
        <v/>
      </c>
      <c r="BE56" s="46">
        <f>SUM(BE49:BE55)</f>
        <v/>
      </c>
      <c r="BF56" s="46">
        <f>SUM(BF49:BF55)</f>
        <v/>
      </c>
      <c r="BG56" s="46">
        <f>SUM(BG49:BG55)</f>
        <v/>
      </c>
      <c r="BH56" s="46">
        <f>SUM(BH49:BH55)</f>
        <v/>
      </c>
      <c r="BI56" s="46">
        <f>SUM(BI49:BI55)</f>
        <v/>
      </c>
      <c r="BJ56" s="46">
        <f>SUM(BJ49:BJ55)</f>
        <v/>
      </c>
      <c r="BK56" s="46">
        <f>SUM(BK49:BK55)</f>
        <v/>
      </c>
      <c r="BL56" s="46">
        <f>SUM(BL49:BL55)</f>
        <v/>
      </c>
      <c r="BM56" s="46">
        <f>SUM(BM49:BM55)</f>
        <v/>
      </c>
      <c r="BO56" s="11" t="inlineStr">
        <is>
          <t>TOTAL</t>
        </is>
      </c>
      <c r="BP56" s="46">
        <f>SUM(BP49:BP55)</f>
        <v/>
      </c>
      <c r="BQ56" s="46">
        <f>SUM(BQ49:BQ55)</f>
        <v/>
      </c>
      <c r="BR56" s="46">
        <f>SUM(BR49:BR55)</f>
        <v/>
      </c>
      <c r="BS56" s="46">
        <f>SUM(BS49:BS55)</f>
        <v/>
      </c>
      <c r="BT56" s="46">
        <f>SUM(BT49:BT55)</f>
        <v/>
      </c>
      <c r="BU56" s="46">
        <f>SUM(BU49:BU55)</f>
        <v/>
      </c>
      <c r="BV56" s="46">
        <f>SUM(BV49:BV55)</f>
        <v/>
      </c>
      <c r="BW56" s="46">
        <f>SUM(BW49:BW55)</f>
        <v/>
      </c>
      <c r="BX56" s="46">
        <f>SUM(BX49:BX55)</f>
        <v/>
      </c>
      <c r="BY56" s="46">
        <f>SUM(BY49:BY55)</f>
        <v/>
      </c>
      <c r="BZ56" s="46">
        <f>SUM(BZ49:BZ55)</f>
        <v/>
      </c>
      <c r="CA56" s="46">
        <f>SUM(CA49:CA55)</f>
        <v/>
      </c>
      <c r="CB56" s="46">
        <f>SUM(CB49:CB55)</f>
        <v/>
      </c>
      <c r="CC56" s="46">
        <f>SUM(CC49:CC55)</f>
        <v/>
      </c>
      <c r="CD56" s="46">
        <f>SUM(CD49:CD55)</f>
        <v/>
      </c>
      <c r="CE56" s="46">
        <f>SUM(CE49:CE55)</f>
        <v/>
      </c>
      <c r="CF56" s="46">
        <f>SUM(CF49:CF55)</f>
        <v/>
      </c>
      <c r="CG56" s="46">
        <f>SUM(CG49:CG55)</f>
        <v/>
      </c>
      <c r="CH56" s="46">
        <f>SUM(CH49:CH55)</f>
        <v/>
      </c>
      <c r="CI56" s="46">
        <f>SUM(CI49:CI55)</f>
        <v/>
      </c>
      <c r="CJ56" s="46">
        <f>SUM(CJ49:CJ55)</f>
        <v/>
      </c>
      <c r="CK56" s="46">
        <f>SUM(CK49:CK55)</f>
        <v/>
      </c>
      <c r="CL56" s="46">
        <f>SUM(CL49:CL55)</f>
        <v/>
      </c>
      <c r="CM56" s="46">
        <f>SUM(CM49:CM55)</f>
        <v/>
      </c>
      <c r="CN56" s="46">
        <f>SUM(CN49:CN55)</f>
        <v/>
      </c>
      <c r="CO56" s="46">
        <f>SUM(CO49:CO55)</f>
        <v/>
      </c>
      <c r="CP56" s="46">
        <f>SUM(CP49:CP55)</f>
        <v/>
      </c>
      <c r="CQ56" s="46">
        <f>SUM(CQ49:CQ55)</f>
        <v/>
      </c>
      <c r="CR56" s="46">
        <f>SUM(CR49:CR55)</f>
        <v/>
      </c>
      <c r="CS56" s="46" t="n">
        <v>5511.006578947368</v>
      </c>
      <c r="CT56" s="54" t="n">
        <v>5515.078431372549</v>
      </c>
      <c r="CU56" s="23" t="n"/>
      <c r="CV56" s="23" t="n"/>
      <c r="CW56" s="23" t="n"/>
      <c r="CY56" s="11" t="inlineStr">
        <is>
          <t>TOTAL</t>
        </is>
      </c>
      <c r="CZ56" s="46" t="n">
        <v>5460.59349593496</v>
      </c>
      <c r="DA56" s="46" t="n">
        <v>5463.58870967742</v>
      </c>
      <c r="DB56" s="46" t="n">
        <v>5468.184</v>
      </c>
      <c r="DC56" s="46" t="n">
        <v>5471.730158730159</v>
      </c>
      <c r="DD56" s="46" t="n">
        <v>5472.677165354331</v>
      </c>
      <c r="DE56" s="46" t="n">
        <v>5477.7421875</v>
      </c>
      <c r="DF56" s="46" t="n">
        <v>5479.899224806201</v>
      </c>
      <c r="DG56" s="46" t="n">
        <v>5477.546153846154</v>
      </c>
      <c r="DH56" s="46" t="n">
        <v>5479.977099236641</v>
      </c>
      <c r="DI56" s="46" t="n">
        <v>5478.681818181818</v>
      </c>
      <c r="DJ56" s="46" t="n">
        <v>5481.210526315789</v>
      </c>
      <c r="DK56" s="46" t="n">
        <v>5481.410447761194</v>
      </c>
      <c r="DL56" s="46" t="n">
        <v>5481.6</v>
      </c>
      <c r="DM56" s="46" t="n">
        <v>5484.338235294118</v>
      </c>
      <c r="DN56" s="46" t="n">
        <v>5485.970802919708</v>
      </c>
      <c r="DO56" s="46" t="n">
        <v>5483.971014492754</v>
      </c>
      <c r="DP56" s="46" t="n">
        <v>5482.89928057554</v>
      </c>
      <c r="DQ56" s="46" t="n">
        <v>5485.442857142857</v>
      </c>
      <c r="DR56" s="46" t="n">
        <v>5484.829787234043</v>
      </c>
      <c r="DS56" s="46" t="n">
        <v>5484.542253521126</v>
      </c>
      <c r="DT56" s="46" t="n">
        <v>5485.223776223776</v>
      </c>
      <c r="DU56" s="46" t="n">
        <v>5487.326388888889</v>
      </c>
      <c r="DV56" s="46" t="n">
        <v>5490.23448275862</v>
      </c>
      <c r="DW56" s="46" t="n">
        <v>5494.623287671233</v>
      </c>
      <c r="DX56" s="46" t="n">
        <v>5500.462585034014</v>
      </c>
      <c r="DY56" s="46" t="n">
        <v>5502.182432432433</v>
      </c>
      <c r="DZ56" s="46" t="n">
        <v>5506.127516778523</v>
      </c>
      <c r="EA56" s="46" t="n">
        <v>5507.813333333334</v>
      </c>
      <c r="EB56" s="46" t="n">
        <v>5509.721854304636</v>
      </c>
      <c r="EC56" s="46" t="n">
        <v>5511.006578947368</v>
      </c>
      <c r="ED56" s="54" t="n">
        <v>5515.078431372549</v>
      </c>
    </row>
    <row r="57" ht="15.75" customHeight="1" thickBot="1"/>
    <row r="58" ht="21.75" customHeight="1" thickBot="1">
      <c r="A58" s="2139" t="inlineStr">
        <is>
          <t>LAST YEAR</t>
        </is>
      </c>
      <c r="AH58" s="2182" t="inlineStr">
        <is>
          <t>Last Year Cummu FOR THE Year 2025-26</t>
        </is>
      </c>
      <c r="AI58" s="2141" t="n"/>
      <c r="AJ58" s="2141" t="n"/>
      <c r="AK58" s="2141" t="n"/>
      <c r="AL58" s="2141" t="n"/>
      <c r="AM58" s="2141" t="n"/>
      <c r="AN58" s="2141" t="n"/>
      <c r="AO58" s="2141" t="n"/>
      <c r="AP58" s="2141" t="n"/>
      <c r="AQ58" s="2141" t="n"/>
      <c r="AR58" s="2141" t="n"/>
      <c r="AS58" s="2141" t="n"/>
      <c r="AT58" s="2141" t="n"/>
      <c r="AU58" s="2141" t="n"/>
      <c r="AV58" s="2141" t="n"/>
      <c r="AW58" s="2141" t="n"/>
      <c r="AX58" s="2141" t="n"/>
      <c r="AY58" s="2141" t="n"/>
      <c r="AZ58" s="2141" t="n"/>
      <c r="BA58" s="2141" t="n"/>
      <c r="BB58" s="2141" t="n"/>
      <c r="BC58" s="2141" t="n"/>
      <c r="BD58" s="2141" t="n"/>
      <c r="BE58" s="2141" t="n"/>
      <c r="BF58" s="2141" t="n"/>
      <c r="BG58" s="2141" t="n"/>
      <c r="BH58" s="2141" t="n"/>
      <c r="BI58" s="2141" t="n"/>
      <c r="BJ58" s="2141" t="n"/>
      <c r="BK58" s="2141" t="n"/>
      <c r="BL58" s="2141" t="n"/>
      <c r="BM58" s="2147" t="n"/>
    </row>
    <row r="59" ht="44.25" customHeight="1" thickBot="1">
      <c r="A59" s="30" t="inlineStr">
        <is>
          <t>Monthly avg for  the whole month</t>
        </is>
      </c>
      <c r="B59" s="2147" t="n"/>
      <c r="C59" s="29" t="inlineStr">
        <is>
          <t>Yearly Avg from  01-04-25 to 31-03-26</t>
        </is>
      </c>
      <c r="AH59" s="1806" t="inlineStr">
        <is>
          <t>Divn.</t>
        </is>
      </c>
      <c r="AI59" s="309" t="n">
        <v>1</v>
      </c>
      <c r="AJ59" s="309" t="n">
        <v>2</v>
      </c>
      <c r="AK59" s="309" t="n">
        <v>3</v>
      </c>
      <c r="AL59" s="309" t="n">
        <v>4</v>
      </c>
      <c r="AM59" s="309" t="n">
        <v>5</v>
      </c>
      <c r="AN59" s="309" t="n">
        <v>6</v>
      </c>
      <c r="AO59" s="309" t="n">
        <v>7</v>
      </c>
      <c r="AP59" s="309" t="n">
        <v>8</v>
      </c>
      <c r="AQ59" s="309" t="n">
        <v>9</v>
      </c>
      <c r="AR59" s="309" t="n">
        <v>10</v>
      </c>
      <c r="AS59" s="309" t="n">
        <v>11</v>
      </c>
      <c r="AT59" s="309" t="n">
        <v>12</v>
      </c>
      <c r="AU59" s="309" t="n">
        <v>13</v>
      </c>
      <c r="AV59" s="309" t="n">
        <v>14</v>
      </c>
      <c r="AW59" s="309" t="n">
        <v>15</v>
      </c>
      <c r="AX59" s="309" t="n">
        <v>16</v>
      </c>
      <c r="AY59" s="309" t="n">
        <v>17</v>
      </c>
      <c r="AZ59" s="309" t="n">
        <v>18</v>
      </c>
      <c r="BA59" s="309" t="n">
        <v>19</v>
      </c>
      <c r="BB59" s="309" t="n">
        <v>20</v>
      </c>
      <c r="BC59" s="309" t="n">
        <v>21</v>
      </c>
      <c r="BD59" s="309" t="n">
        <v>22</v>
      </c>
      <c r="BE59" s="309" t="n">
        <v>23</v>
      </c>
      <c r="BF59" s="309" t="n">
        <v>24</v>
      </c>
      <c r="BG59" s="309" t="n">
        <v>25</v>
      </c>
      <c r="BH59" s="309" t="n">
        <v>26</v>
      </c>
      <c r="BI59" s="309" t="n">
        <v>27</v>
      </c>
      <c r="BJ59" s="309" t="n">
        <v>28</v>
      </c>
      <c r="BK59" s="309" t="n">
        <v>29</v>
      </c>
      <c r="BL59" s="309" t="n">
        <v>30</v>
      </c>
      <c r="BM59" s="1807" t="n">
        <v>31</v>
      </c>
    </row>
    <row r="60" ht="44.25" customHeight="1" thickBot="1">
      <c r="A60" s="1735" t="inlineStr">
        <is>
          <t>COMMODITY</t>
        </is>
      </c>
      <c r="B60" s="1735" t="inlineStr">
        <is>
          <t>wagons</t>
        </is>
      </c>
      <c r="C60" s="30" t="inlineStr">
        <is>
          <t>wagons</t>
        </is>
      </c>
      <c r="AH60" s="614" t="inlineStr">
        <is>
          <t>ADI</t>
        </is>
      </c>
      <c r="AI60" s="36">
        <f>0.0+SUM($B49:B49)</f>
        <v/>
      </c>
      <c r="AJ60" s="36">
        <f>0.0+SUM($B49:C49)</f>
        <v/>
      </c>
      <c r="AK60" s="36">
        <f>0.0+SUM($B49:D49)</f>
        <v/>
      </c>
      <c r="AL60" s="36">
        <f>0.0+SUM($B49:E49)</f>
        <v/>
      </c>
      <c r="AM60" s="36">
        <f>0.0+SUM($B49:F49)</f>
        <v/>
      </c>
      <c r="AN60" s="36">
        <f>0.0+SUM($B49:G49)</f>
        <v/>
      </c>
      <c r="AO60" s="36">
        <f>0.0+SUM($B49:H49)</f>
        <v/>
      </c>
      <c r="AP60" s="36">
        <f>0.0+SUM($B49:I49)</f>
        <v/>
      </c>
      <c r="AQ60" s="36">
        <f>0.0+SUM($B49:J49)</f>
        <v/>
      </c>
      <c r="AR60" s="36">
        <f>0.0+SUM($B49:K49)</f>
        <v/>
      </c>
      <c r="AS60" s="36">
        <f>0.0+SUM($B49:L49)</f>
        <v/>
      </c>
      <c r="AT60" s="36">
        <f>0.0+SUM($B49:M49)</f>
        <v/>
      </c>
      <c r="AU60" s="36">
        <f>0.0+SUM($B49:N49)</f>
        <v/>
      </c>
      <c r="AV60" s="36">
        <f>0.0+SUM($B49:O49)</f>
        <v/>
      </c>
      <c r="AW60" s="36">
        <f>0.0+SUM($B49:P49)</f>
        <v/>
      </c>
      <c r="AX60" s="36">
        <f>0.0+SUM($B49:Q49)</f>
        <v/>
      </c>
      <c r="AY60" s="36">
        <f>0.0+SUM($B49:R49)</f>
        <v/>
      </c>
      <c r="AZ60" s="36">
        <f>0.0+SUM($B49:S49)</f>
        <v/>
      </c>
      <c r="BA60" s="36">
        <f>0.0+SUM($B49:T49)</f>
        <v/>
      </c>
      <c r="BB60" s="36">
        <f>0.0+SUM($B49:U49)</f>
        <v/>
      </c>
      <c r="BC60" s="36">
        <f>0.0+SUM($B49:V49)</f>
        <v/>
      </c>
      <c r="BD60" s="36">
        <f>0.0+SUM($B49:W49)</f>
        <v/>
      </c>
      <c r="BE60" s="36">
        <f>0.0+SUM($B49:X49)</f>
        <v/>
      </c>
      <c r="BF60" s="36">
        <f>0.0+SUM($B49:Y49)</f>
        <v/>
      </c>
      <c r="BG60" s="36">
        <f>0.0+SUM($B49:Z49)</f>
        <v/>
      </c>
      <c r="BH60" s="36">
        <f>0.0+SUM($B49:AA49)</f>
        <v/>
      </c>
      <c r="BI60" s="36">
        <f>0.0+SUM($B49:AB49)</f>
        <v/>
      </c>
      <c r="BJ60" s="36">
        <f>0.0+SUM($B49:AC49)</f>
        <v/>
      </c>
      <c r="BK60" s="36">
        <f>0.0+SUM($B49:AD49)</f>
        <v/>
      </c>
      <c r="BL60" s="36" t="n"/>
      <c r="BM60" s="37" t="n"/>
    </row>
    <row r="61" ht="16.5" customHeight="1" thickBot="1">
      <c r="A61" s="40" t="inlineStr">
        <is>
          <t>CEM</t>
        </is>
      </c>
      <c r="B61" s="55">
        <f>AVERAGE(B32:AD32)</f>
        <v/>
      </c>
      <c r="C61" s="53" t="n">
        <v>0</v>
      </c>
      <c r="AH61" s="610" t="inlineStr">
        <is>
          <t>GIMB</t>
        </is>
      </c>
      <c r="AI61" s="246">
        <f>0.0+SUM($B50:B50)</f>
        <v/>
      </c>
      <c r="AJ61" s="246">
        <f>0.0+SUM($B50:C50)</f>
        <v/>
      </c>
      <c r="AK61" s="246">
        <f>0.0+SUM($B50:D50)</f>
        <v/>
      </c>
      <c r="AL61" s="246">
        <f>0.0+SUM($B50:E50)</f>
        <v/>
      </c>
      <c r="AM61" s="246">
        <f>0.0+SUM($B50:F50)</f>
        <v/>
      </c>
      <c r="AN61" s="246">
        <f>0.0+SUM($B50:G50)</f>
        <v/>
      </c>
      <c r="AO61" s="246">
        <f>0.0+SUM($B50:H50)</f>
        <v/>
      </c>
      <c r="AP61" s="246">
        <f>0.0+SUM($B50:I50)</f>
        <v/>
      </c>
      <c r="AQ61" s="246">
        <f>0.0+SUM($B50:J50)</f>
        <v/>
      </c>
      <c r="AR61" s="246">
        <f>0.0+SUM($B50:K50)</f>
        <v/>
      </c>
      <c r="AS61" s="246">
        <f>0.0+SUM($B50:L50)</f>
        <v/>
      </c>
      <c r="AT61" s="246">
        <f>0.0+SUM($B50:M50)</f>
        <v/>
      </c>
      <c r="AU61" s="246">
        <f>0.0+SUM($B50:N50)</f>
        <v/>
      </c>
      <c r="AV61" s="246">
        <f>0.0+SUM($B50:O50)</f>
        <v/>
      </c>
      <c r="AW61" s="246">
        <f>0.0+SUM($B50:P50)</f>
        <v/>
      </c>
      <c r="AX61" s="246">
        <f>0.0+SUM($B50:Q50)</f>
        <v/>
      </c>
      <c r="AY61" s="246">
        <f>0.0+SUM($B50:R50)</f>
        <v/>
      </c>
      <c r="AZ61" s="246">
        <f>0.0+SUM($B50:S50)</f>
        <v/>
      </c>
      <c r="BA61" s="246">
        <f>0.0+SUM($B50:T50)</f>
        <v/>
      </c>
      <c r="BB61" s="246">
        <f>0.0+SUM($B50:U50)</f>
        <v/>
      </c>
      <c r="BC61" s="246">
        <f>0.0+SUM($B50:V50)</f>
        <v/>
      </c>
      <c r="BD61" s="246">
        <f>0.0+SUM($B50:W50)</f>
        <v/>
      </c>
      <c r="BE61" s="246">
        <f>0.0+SUM($B50:X50)</f>
        <v/>
      </c>
      <c r="BF61" s="246">
        <f>0.0+SUM($B50:Y50)</f>
        <v/>
      </c>
      <c r="BG61" s="246">
        <f>0.0+SUM($B50:Z50)</f>
        <v/>
      </c>
      <c r="BH61" s="246">
        <f>0.0+SUM($B50:AA50)</f>
        <v/>
      </c>
      <c r="BI61" s="246">
        <f>0.0+SUM($B50:AB50)</f>
        <v/>
      </c>
      <c r="BJ61" s="246">
        <f>0.0+SUM($B50:AC50)</f>
        <v/>
      </c>
      <c r="BK61" s="246">
        <f>0.0+SUM($B50:AD50)</f>
        <v/>
      </c>
      <c r="BL61" s="246" t="n"/>
      <c r="BM61" s="31" t="n"/>
    </row>
    <row r="62" ht="16.5" customHeight="1" thickBot="1">
      <c r="A62" s="6" t="inlineStr">
        <is>
          <t>COAL</t>
        </is>
      </c>
      <c r="B62" s="55">
        <f>AVERAGE(B33:AD33)</f>
        <v/>
      </c>
      <c r="C62" s="48" t="n">
        <v>0</v>
      </c>
      <c r="AH62" s="610" t="inlineStr">
        <is>
          <t>BCT</t>
        </is>
      </c>
      <c r="AI62" s="246">
        <f>0.0+SUM($B51:B51)</f>
        <v/>
      </c>
      <c r="AJ62" s="246">
        <f>0.0+SUM($B51:C51)</f>
        <v/>
      </c>
      <c r="AK62" s="246">
        <f>0.0+SUM($B51:D51)</f>
        <v/>
      </c>
      <c r="AL62" s="246">
        <f>0.0+SUM($B51:E51)</f>
        <v/>
      </c>
      <c r="AM62" s="246">
        <f>0.0+SUM($B51:F51)</f>
        <v/>
      </c>
      <c r="AN62" s="246">
        <f>0.0+SUM($B51:G51)</f>
        <v/>
      </c>
      <c r="AO62" s="246">
        <f>0.0+SUM($B51:H51)</f>
        <v/>
      </c>
      <c r="AP62" s="246">
        <f>0.0+SUM($B51:I51)</f>
        <v/>
      </c>
      <c r="AQ62" s="246">
        <f>0.0+SUM($B51:J51)</f>
        <v/>
      </c>
      <c r="AR62" s="246">
        <f>0.0+SUM($B51:K51)</f>
        <v/>
      </c>
      <c r="AS62" s="246">
        <f>0.0+SUM($B51:L51)</f>
        <v/>
      </c>
      <c r="AT62" s="246">
        <f>0.0+SUM($B51:M51)</f>
        <v/>
      </c>
      <c r="AU62" s="246">
        <f>0.0+SUM($B51:N51)</f>
        <v/>
      </c>
      <c r="AV62" s="246">
        <f>0.0+SUM($B51:O51)</f>
        <v/>
      </c>
      <c r="AW62" s="246">
        <f>0.0+SUM($B51:P51)</f>
        <v/>
      </c>
      <c r="AX62" s="246">
        <f>0.0+SUM($B51:Q51)</f>
        <v/>
      </c>
      <c r="AY62" s="246">
        <f>0.0+SUM($B51:R51)</f>
        <v/>
      </c>
      <c r="AZ62" s="246">
        <f>0.0+SUM($B51:S51)</f>
        <v/>
      </c>
      <c r="BA62" s="246">
        <f>0.0+SUM($B51:T51)</f>
        <v/>
      </c>
      <c r="BB62" s="246">
        <f>0.0+SUM($B51:U51)</f>
        <v/>
      </c>
      <c r="BC62" s="246">
        <f>0.0+SUM($B51:V51)</f>
        <v/>
      </c>
      <c r="BD62" s="246">
        <f>0.0+SUM($B51:W51)</f>
        <v/>
      </c>
      <c r="BE62" s="246">
        <f>0.0+SUM($B51:X51)</f>
        <v/>
      </c>
      <c r="BF62" s="246">
        <f>0.0+SUM($B51:Y51)</f>
        <v/>
      </c>
      <c r="BG62" s="246">
        <f>0.0+SUM($B51:Z51)</f>
        <v/>
      </c>
      <c r="BH62" s="246">
        <f>0.0+SUM($B51:AA51)</f>
        <v/>
      </c>
      <c r="BI62" s="246">
        <f>0.0+SUM($B51:AB51)</f>
        <v/>
      </c>
      <c r="BJ62" s="246">
        <f>0.0+SUM($B51:AC51)</f>
        <v/>
      </c>
      <c r="BK62" s="246">
        <f>0.0+SUM($B51:AD51)</f>
        <v/>
      </c>
      <c r="BL62" s="246" t="n"/>
      <c r="BM62" s="31" t="n"/>
    </row>
    <row r="63" ht="16.5" customHeight="1" thickBot="1">
      <c r="A63" s="6" t="inlineStr">
        <is>
          <t>CONT</t>
        </is>
      </c>
      <c r="B63" s="55">
        <f>AVERAGE(B34:AD34)</f>
        <v/>
      </c>
      <c r="C63" s="48" t="n">
        <v>0</v>
      </c>
      <c r="AH63" s="610" t="inlineStr">
        <is>
          <t>BRC</t>
        </is>
      </c>
      <c r="AI63" s="246">
        <f>0.0+SUM($B52:B52)</f>
        <v/>
      </c>
      <c r="AJ63" s="246">
        <f>0.0+SUM($B52:C52)</f>
        <v/>
      </c>
      <c r="AK63" s="246">
        <f>0.0+SUM($B52:D52)</f>
        <v/>
      </c>
      <c r="AL63" s="246">
        <f>0.0+SUM($B52:E52)</f>
        <v/>
      </c>
      <c r="AM63" s="246">
        <f>0.0+SUM($B52:F52)</f>
        <v/>
      </c>
      <c r="AN63" s="246">
        <f>0.0+SUM($B52:G52)</f>
        <v/>
      </c>
      <c r="AO63" s="246">
        <f>0.0+SUM($B52:H52)</f>
        <v/>
      </c>
      <c r="AP63" s="246">
        <f>0.0+SUM($B52:I52)</f>
        <v/>
      </c>
      <c r="AQ63" s="246">
        <f>0.0+SUM($B52:J52)</f>
        <v/>
      </c>
      <c r="AR63" s="246">
        <f>0.0+SUM($B52:K52)</f>
        <v/>
      </c>
      <c r="AS63" s="246">
        <f>0.0+SUM($B52:L52)</f>
        <v/>
      </c>
      <c r="AT63" s="246">
        <f>0.0+SUM($B52:M52)</f>
        <v/>
      </c>
      <c r="AU63" s="246">
        <f>0.0+SUM($B52:N52)</f>
        <v/>
      </c>
      <c r="AV63" s="246">
        <f>0.0+SUM($B52:O52)</f>
        <v/>
      </c>
      <c r="AW63" s="246">
        <f>0.0+SUM($B52:P52)</f>
        <v/>
      </c>
      <c r="AX63" s="246">
        <f>0.0+SUM($B52:Q52)</f>
        <v/>
      </c>
      <c r="AY63" s="246">
        <f>0.0+SUM($B52:R52)</f>
        <v/>
      </c>
      <c r="AZ63" s="246">
        <f>0.0+SUM($B52:S52)</f>
        <v/>
      </c>
      <c r="BA63" s="246">
        <f>0.0+SUM($B52:T52)</f>
        <v/>
      </c>
      <c r="BB63" s="246">
        <f>0.0+SUM($B52:U52)</f>
        <v/>
      </c>
      <c r="BC63" s="246">
        <f>0.0+SUM($B52:V52)</f>
        <v/>
      </c>
      <c r="BD63" s="246">
        <f>0.0+SUM($B52:W52)</f>
        <v/>
      </c>
      <c r="BE63" s="246">
        <f>0.0+SUM($B52:X52)</f>
        <v/>
      </c>
      <c r="BF63" s="246">
        <f>0.0+SUM($B52:Y52)</f>
        <v/>
      </c>
      <c r="BG63" s="246">
        <f>0.0+SUM($B52:Z52)</f>
        <v/>
      </c>
      <c r="BH63" s="246">
        <f>0.0+SUM($B52:AA52)</f>
        <v/>
      </c>
      <c r="BI63" s="246">
        <f>0.0+SUM($B52:AB52)</f>
        <v/>
      </c>
      <c r="BJ63" s="246">
        <f>0.0+SUM($B52:AC52)</f>
        <v/>
      </c>
      <c r="BK63" s="246">
        <f>0.0+SUM($B52:AD52)</f>
        <v/>
      </c>
      <c r="BL63" s="246" t="n"/>
      <c r="BM63" s="31" t="n"/>
    </row>
    <row r="64" ht="16.5" customHeight="1" thickBot="1">
      <c r="A64" s="6" t="inlineStr">
        <is>
          <t>FERT</t>
        </is>
      </c>
      <c r="B64" s="55">
        <f>AVERAGE(B35:AD35)</f>
        <v/>
      </c>
      <c r="C64" s="48" t="n">
        <v>0</v>
      </c>
      <c r="AH64" s="610" t="inlineStr">
        <is>
          <t>RJT</t>
        </is>
      </c>
      <c r="AI64" s="246">
        <f>0.0+SUM($B53:B53)</f>
        <v/>
      </c>
      <c r="AJ64" s="246">
        <f>0.0+SUM($B53:C53)</f>
        <v/>
      </c>
      <c r="AK64" s="246">
        <f>0.0+SUM($B53:D53)</f>
        <v/>
      </c>
      <c r="AL64" s="246">
        <f>0.0+SUM($B53:E53)</f>
        <v/>
      </c>
      <c r="AM64" s="246">
        <f>0.0+SUM($B53:F53)</f>
        <v/>
      </c>
      <c r="AN64" s="246">
        <f>0.0+SUM($B53:G53)</f>
        <v/>
      </c>
      <c r="AO64" s="246">
        <f>0.0+SUM($B53:H53)</f>
        <v/>
      </c>
      <c r="AP64" s="246">
        <f>0.0+SUM($B53:I53)</f>
        <v/>
      </c>
      <c r="AQ64" s="246">
        <f>0.0+SUM($B53:J53)</f>
        <v/>
      </c>
      <c r="AR64" s="246">
        <f>0.0+SUM($B53:K53)</f>
        <v/>
      </c>
      <c r="AS64" s="246">
        <f>0.0+SUM($B53:L53)</f>
        <v/>
      </c>
      <c r="AT64" s="246">
        <f>0.0+SUM($B53:M53)</f>
        <v/>
      </c>
      <c r="AU64" s="246">
        <f>0.0+SUM($B53:N53)</f>
        <v/>
      </c>
      <c r="AV64" s="246">
        <f>0.0+SUM($B53:O53)</f>
        <v/>
      </c>
      <c r="AW64" s="246">
        <f>0.0+SUM($B53:P53)</f>
        <v/>
      </c>
      <c r="AX64" s="246">
        <f>0.0+SUM($B53:Q53)</f>
        <v/>
      </c>
      <c r="AY64" s="246">
        <f>0.0+SUM($B53:R53)</f>
        <v/>
      </c>
      <c r="AZ64" s="246">
        <f>0.0+SUM($B53:S53)</f>
        <v/>
      </c>
      <c r="BA64" s="246">
        <f>0.0+SUM($B53:T53)</f>
        <v/>
      </c>
      <c r="BB64" s="246">
        <f>0.0+SUM($B53:U53)</f>
        <v/>
      </c>
      <c r="BC64" s="246">
        <f>0.0+SUM($B53:V53)</f>
        <v/>
      </c>
      <c r="BD64" s="246">
        <f>0.0+SUM($B53:W53)</f>
        <v/>
      </c>
      <c r="BE64" s="246">
        <f>0.0+SUM($B53:X53)</f>
        <v/>
      </c>
      <c r="BF64" s="246">
        <f>0.0+SUM($B53:Y53)</f>
        <v/>
      </c>
      <c r="BG64" s="246">
        <f>0.0+SUM($B53:Z53)</f>
        <v/>
      </c>
      <c r="BH64" s="246">
        <f>0.0+SUM($B53:AA53)</f>
        <v/>
      </c>
      <c r="BI64" s="246">
        <f>0.0+SUM($B53:AB53)</f>
        <v/>
      </c>
      <c r="BJ64" s="246">
        <f>0.0+SUM($B53:AC53)</f>
        <v/>
      </c>
      <c r="BK64" s="246">
        <f>0.0+SUM($B53:AD53)</f>
        <v/>
      </c>
      <c r="BL64" s="246" t="n"/>
      <c r="BM64" s="31" t="n"/>
    </row>
    <row r="65" ht="16.5" customHeight="1" thickBot="1">
      <c r="A65" s="6" t="inlineStr">
        <is>
          <t>IMFT</t>
        </is>
      </c>
      <c r="B65" s="55">
        <f>AVERAGE(B36:AD36)</f>
        <v/>
      </c>
      <c r="C65" s="48" t="n">
        <v>0</v>
      </c>
      <c r="AH65" s="610" t="inlineStr">
        <is>
          <t>BVP</t>
        </is>
      </c>
      <c r="AI65" s="246">
        <f>0.0+SUM($B54:B54)</f>
        <v/>
      </c>
      <c r="AJ65" s="246">
        <f>0.0+SUM($B54:C54)</f>
        <v/>
      </c>
      <c r="AK65" s="246">
        <f>0.0+SUM($B54:D54)</f>
        <v/>
      </c>
      <c r="AL65" s="246">
        <f>0.0+SUM($B54:E54)</f>
        <v/>
      </c>
      <c r="AM65" s="246">
        <f>0.0+SUM($B54:F54)</f>
        <v/>
      </c>
      <c r="AN65" s="246">
        <f>0.0+SUM($B54:G54)</f>
        <v/>
      </c>
      <c r="AO65" s="246">
        <f>0.0+SUM($B54:H54)</f>
        <v/>
      </c>
      <c r="AP65" s="246">
        <f>0.0+SUM($B54:I54)</f>
        <v/>
      </c>
      <c r="AQ65" s="246">
        <f>0.0+SUM($B54:J54)</f>
        <v/>
      </c>
      <c r="AR65" s="246">
        <f>0.0+SUM($B54:K54)</f>
        <v/>
      </c>
      <c r="AS65" s="246">
        <f>0.0+SUM($B54:L54)</f>
        <v/>
      </c>
      <c r="AT65" s="246">
        <f>0.0+SUM($B54:M54)</f>
        <v/>
      </c>
      <c r="AU65" s="246">
        <f>0.0+SUM($B54:N54)</f>
        <v/>
      </c>
      <c r="AV65" s="246">
        <f>0.0+SUM($B54:O54)</f>
        <v/>
      </c>
      <c r="AW65" s="246">
        <f>0.0+SUM($B54:P54)</f>
        <v/>
      </c>
      <c r="AX65" s="246">
        <f>0.0+SUM($B54:Q54)</f>
        <v/>
      </c>
      <c r="AY65" s="246">
        <f>0.0+SUM($B54:R54)</f>
        <v/>
      </c>
      <c r="AZ65" s="246">
        <f>0.0+SUM($B54:S54)</f>
        <v/>
      </c>
      <c r="BA65" s="246">
        <f>0.0+SUM($B54:T54)</f>
        <v/>
      </c>
      <c r="BB65" s="246">
        <f>0.0+SUM($B54:U54)</f>
        <v/>
      </c>
      <c r="BC65" s="246">
        <f>0.0+SUM($B54:V54)</f>
        <v/>
      </c>
      <c r="BD65" s="246">
        <f>0.0+SUM($B54:W54)</f>
        <v/>
      </c>
      <c r="BE65" s="246">
        <f>0.0+SUM($B54:X54)</f>
        <v/>
      </c>
      <c r="BF65" s="246">
        <f>0.0+SUM($B54:Y54)</f>
        <v/>
      </c>
      <c r="BG65" s="246">
        <f>0.0+SUM($B54:Z54)</f>
        <v/>
      </c>
      <c r="BH65" s="246">
        <f>0.0+SUM($B54:AA54)</f>
        <v/>
      </c>
      <c r="BI65" s="246">
        <f>0.0+SUM($B54:AB54)</f>
        <v/>
      </c>
      <c r="BJ65" s="246">
        <f>0.0+SUM($B54:AC54)</f>
        <v/>
      </c>
      <c r="BK65" s="246">
        <f>0.0+SUM($B54:AD54)</f>
        <v/>
      </c>
      <c r="BL65" s="246" t="n"/>
      <c r="BM65" s="31" t="n"/>
    </row>
    <row r="66" ht="16.5" customHeight="1" thickBot="1">
      <c r="A66" s="6" t="inlineStr">
        <is>
          <t>POL</t>
        </is>
      </c>
      <c r="B66" s="55">
        <f>AVERAGE(B37:AD37)</f>
        <v/>
      </c>
      <c r="C66" s="48" t="n">
        <v>0</v>
      </c>
      <c r="AH66" s="610" t="inlineStr">
        <is>
          <t>RTM</t>
        </is>
      </c>
      <c r="AI66" s="246">
        <f>0.0+SUM($B55:B55)</f>
        <v/>
      </c>
      <c r="AJ66" s="246">
        <f>0.0+SUM($B55:C55)</f>
        <v/>
      </c>
      <c r="AK66" s="246">
        <f>0.0+SUM($B55:D55)</f>
        <v/>
      </c>
      <c r="AL66" s="246">
        <f>0.0+SUM($B55:E55)</f>
        <v/>
      </c>
      <c r="AM66" s="246">
        <f>0.0+SUM($B55:F55)</f>
        <v/>
      </c>
      <c r="AN66" s="246">
        <f>0.0+SUM($B55:G55)</f>
        <v/>
      </c>
      <c r="AO66" s="246">
        <f>0.0+SUM($B55:H55)</f>
        <v/>
      </c>
      <c r="AP66" s="246">
        <f>0.0+SUM($B55:I55)</f>
        <v/>
      </c>
      <c r="AQ66" s="246">
        <f>0.0+SUM($B55:J55)</f>
        <v/>
      </c>
      <c r="AR66" s="246">
        <f>0.0+SUM($B55:K55)</f>
        <v/>
      </c>
      <c r="AS66" s="246">
        <f>0.0+SUM($B55:L55)</f>
        <v/>
      </c>
      <c r="AT66" s="246">
        <f>0.0+SUM($B55:M55)</f>
        <v/>
      </c>
      <c r="AU66" s="246">
        <f>0.0+SUM($B55:N55)</f>
        <v/>
      </c>
      <c r="AV66" s="246">
        <f>0.0+SUM($B55:O55)</f>
        <v/>
      </c>
      <c r="AW66" s="246">
        <f>0.0+SUM($B55:P55)</f>
        <v/>
      </c>
      <c r="AX66" s="246">
        <f>0.0+SUM($B55:Q55)</f>
        <v/>
      </c>
      <c r="AY66" s="246">
        <f>0.0+SUM($B55:R55)</f>
        <v/>
      </c>
      <c r="AZ66" s="246">
        <f>0.0+SUM($B55:S55)</f>
        <v/>
      </c>
      <c r="BA66" s="246">
        <f>0.0+SUM($B55:T55)</f>
        <v/>
      </c>
      <c r="BB66" s="246">
        <f>0.0+SUM($B55:U55)</f>
        <v/>
      </c>
      <c r="BC66" s="246">
        <f>0.0+SUM($B55:V55)</f>
        <v/>
      </c>
      <c r="BD66" s="246">
        <f>0.0+SUM($B55:W55)</f>
        <v/>
      </c>
      <c r="BE66" s="246">
        <f>0.0+SUM($B55:X55)</f>
        <v/>
      </c>
      <c r="BF66" s="246">
        <f>0.0+SUM($B55:Y55)</f>
        <v/>
      </c>
      <c r="BG66" s="246">
        <f>0.0+SUM($B55:Z55)</f>
        <v/>
      </c>
      <c r="BH66" s="246">
        <f>0.0+SUM($B55:AA55)</f>
        <v/>
      </c>
      <c r="BI66" s="246">
        <f>0.0+SUM($B55:AB55)</f>
        <v/>
      </c>
      <c r="BJ66" s="246">
        <f>0.0+SUM($B55:AC55)</f>
        <v/>
      </c>
      <c r="BK66" s="246">
        <f>0.0+SUM($B55:AD55)</f>
        <v/>
      </c>
      <c r="BL66" s="246" t="n"/>
      <c r="BM66" s="31" t="n"/>
    </row>
    <row r="67" ht="16.5" customHeight="1" thickBot="1">
      <c r="A67" s="6" t="inlineStr">
        <is>
          <t>SALT</t>
        </is>
      </c>
      <c r="B67" s="55">
        <f>AVERAGE(B38:AD38)</f>
        <v/>
      </c>
      <c r="C67" s="48" t="n">
        <v>0</v>
      </c>
      <c r="AH67" s="611" t="inlineStr">
        <is>
          <t>TL 8W</t>
        </is>
      </c>
      <c r="AI67" s="612">
        <f>SUM(AI60:AI66)</f>
        <v/>
      </c>
      <c r="AJ67" s="612">
        <f>SUM(AJ60:AJ66)</f>
        <v/>
      </c>
      <c r="AK67" s="612">
        <f>SUM(AK60:AK66)</f>
        <v/>
      </c>
      <c r="AL67" s="612">
        <f>SUM(AL60:AL66)</f>
        <v/>
      </c>
      <c r="AM67" s="612">
        <f>SUM(AM60:AM66)</f>
        <v/>
      </c>
      <c r="AN67" s="612">
        <f>SUM(AN60:AN66)</f>
        <v/>
      </c>
      <c r="AO67" s="612">
        <f>SUM(AO60:AO66)</f>
        <v/>
      </c>
      <c r="AP67" s="612">
        <f>SUM(AP60:AP66)</f>
        <v/>
      </c>
      <c r="AQ67" s="612">
        <f>SUM(AQ60:AQ66)</f>
        <v/>
      </c>
      <c r="AR67" s="612">
        <f>SUM(AR60:AR66)</f>
        <v/>
      </c>
      <c r="AS67" s="612">
        <f>SUM(AS60:AS66)</f>
        <v/>
      </c>
      <c r="AT67" s="612">
        <f>SUM(AT60:AT66)</f>
        <v/>
      </c>
      <c r="AU67" s="612">
        <f>SUM(AU60:AU66)</f>
        <v/>
      </c>
      <c r="AV67" s="612">
        <f>SUM(AV60:AV66)</f>
        <v/>
      </c>
      <c r="AW67" s="612">
        <f>SUM(AW60:AW66)</f>
        <v/>
      </c>
      <c r="AX67" s="612">
        <f>SUM(AX60:AX66)</f>
        <v/>
      </c>
      <c r="AY67" s="612">
        <f>SUM(AY60:AY66)</f>
        <v/>
      </c>
      <c r="AZ67" s="612">
        <f>SUM(AZ60:AZ66)</f>
        <v/>
      </c>
      <c r="BA67" s="612">
        <f>SUM(BA60:BA66)</f>
        <v/>
      </c>
      <c r="BB67" s="612">
        <f>SUM(BB60:BB66)</f>
        <v/>
      </c>
      <c r="BC67" s="612">
        <f>SUM(BC60:BC66)</f>
        <v/>
      </c>
      <c r="BD67" s="612">
        <f>SUM(BD60:BD66)</f>
        <v/>
      </c>
      <c r="BE67" s="612">
        <f>SUM(BE60:BE66)</f>
        <v/>
      </c>
      <c r="BF67" s="612">
        <f>SUM(BF60:BF66)</f>
        <v/>
      </c>
      <c r="BG67" s="612">
        <f>SUM(BG60:BG66)</f>
        <v/>
      </c>
      <c r="BH67" s="612">
        <f>SUM(BH60:BH66)</f>
        <v/>
      </c>
      <c r="BI67" s="612">
        <f>SUM(BI60:BI66)</f>
        <v/>
      </c>
      <c r="BJ67" s="612">
        <f>SUM(BJ60:BJ66)</f>
        <v/>
      </c>
      <c r="BK67" s="612">
        <f>SUM(BK60:BK66)</f>
        <v/>
      </c>
      <c r="BL67" s="612" t="n"/>
      <c r="BM67" s="613" t="n"/>
    </row>
    <row r="68" ht="16.5" customHeight="1" thickBot="1">
      <c r="A68" s="6" t="inlineStr">
        <is>
          <t>STEEL</t>
        </is>
      </c>
      <c r="B68" s="55">
        <f>AVERAGE(B39:AD39)</f>
        <v/>
      </c>
      <c r="C68" s="48" t="n">
        <v>0</v>
      </c>
      <c r="AH68" s="2135" t="n"/>
      <c r="AI68" s="2135" t="n"/>
      <c r="AJ68" s="2135" t="n"/>
      <c r="AK68" s="2135" t="n"/>
      <c r="AL68" s="2135" t="n"/>
      <c r="AM68" s="2135" t="n"/>
      <c r="AN68" s="2135" t="n"/>
      <c r="AO68" s="2135" t="n"/>
      <c r="AP68" s="2135" t="n"/>
      <c r="AQ68" s="2135" t="n"/>
      <c r="AR68" s="2135" t="n"/>
      <c r="AS68" s="2135" t="n"/>
      <c r="AT68" s="2135" t="n"/>
      <c r="AU68" s="2135" t="n"/>
      <c r="AV68" s="2135" t="n"/>
      <c r="AW68" s="2135" t="n"/>
      <c r="AX68" s="2135" t="n"/>
      <c r="AY68" s="2135" t="n"/>
      <c r="AZ68" s="2135" t="n"/>
      <c r="BA68" s="2135" t="n"/>
      <c r="BB68" s="2135" t="n"/>
      <c r="BC68" s="2135" t="n"/>
      <c r="BD68" s="2135" t="n"/>
      <c r="BE68" s="2135" t="n"/>
      <c r="BF68" s="2135" t="n"/>
      <c r="BG68" s="2135" t="n"/>
      <c r="BH68" s="2135" t="n"/>
      <c r="BI68" s="2135" t="n"/>
      <c r="BJ68" s="2135" t="n"/>
      <c r="BK68" s="2135" t="n"/>
      <c r="BL68" s="2135" t="n"/>
      <c r="BM68" s="2135" t="n"/>
    </row>
    <row r="69" ht="16.5" customHeight="1" thickBot="1">
      <c r="A69" s="6" t="inlineStr">
        <is>
          <t>DOC</t>
        </is>
      </c>
      <c r="B69" s="55">
        <f>AVERAGE(B40:AD40)</f>
        <v/>
      </c>
      <c r="C69" s="48" t="n">
        <v>0</v>
      </c>
      <c r="AH69" s="252" t="inlineStr">
        <is>
          <t>Last Year Cummu FOR THE MONTH JULY</t>
        </is>
      </c>
      <c r="AI69" s="2135" t="n"/>
      <c r="AJ69" s="2135" t="n"/>
      <c r="AK69" s="2135" t="n"/>
      <c r="AL69" s="2135" t="n"/>
      <c r="AM69" s="2135" t="n"/>
      <c r="AN69" s="2135" t="n"/>
      <c r="AO69" s="2135" t="n"/>
      <c r="AP69" s="2135" t="n"/>
      <c r="AQ69" s="2135" t="n"/>
      <c r="AR69" s="2135" t="n"/>
      <c r="AS69" s="2135" t="n"/>
      <c r="AT69" s="2135" t="n"/>
      <c r="AU69" s="2135" t="n"/>
      <c r="AV69" s="2135" t="n"/>
      <c r="AW69" s="2135" t="n"/>
      <c r="AX69" s="2135" t="n"/>
      <c r="AY69" s="2135" t="n"/>
      <c r="AZ69" s="2135" t="n"/>
      <c r="BA69" s="2135" t="n"/>
      <c r="BB69" s="2135" t="n"/>
      <c r="BC69" s="2135" t="n"/>
      <c r="BD69" s="2135" t="n"/>
      <c r="BE69" s="2135" t="n"/>
      <c r="BF69" s="2135" t="n"/>
      <c r="BG69" s="2135" t="n"/>
      <c r="BH69" s="2135" t="n"/>
      <c r="BI69" s="2135" t="n"/>
      <c r="BJ69" s="2135" t="n"/>
      <c r="BK69" s="2135" t="n"/>
      <c r="BL69" s="2135" t="n"/>
      <c r="BM69" s="2135" t="n"/>
    </row>
    <row r="70" ht="16.5" customHeight="1" thickBot="1">
      <c r="A70" s="6" t="inlineStr">
        <is>
          <t>FG</t>
        </is>
      </c>
      <c r="B70" s="55">
        <f>AVERAGE(B41:AD41)</f>
        <v/>
      </c>
      <c r="C70" s="48" t="n">
        <v>0</v>
      </c>
      <c r="AI70" s="246">
        <f>SUM($B45:B45)</f>
        <v/>
      </c>
      <c r="AJ70" s="246">
        <f>SUM($B45:C45)</f>
        <v/>
      </c>
      <c r="AK70" s="246">
        <f>SUM($B45:D45)</f>
        <v/>
      </c>
      <c r="AL70" s="246">
        <f>SUM($B45:E45)</f>
        <v/>
      </c>
      <c r="AM70" s="246">
        <f>SUM($B45:F45)</f>
        <v/>
      </c>
      <c r="AN70" s="246">
        <f>SUM($B45:G45)</f>
        <v/>
      </c>
      <c r="AO70" s="246">
        <f>SUM($B45:H45)</f>
        <v/>
      </c>
      <c r="AP70" s="246">
        <f>SUM($B45:I45)</f>
        <v/>
      </c>
      <c r="AQ70" s="246">
        <f>SUM($B45:J45)</f>
        <v/>
      </c>
      <c r="AR70" s="246">
        <f>SUM($B45:K45)</f>
        <v/>
      </c>
      <c r="AS70" s="246">
        <f>SUM($B45:L45)</f>
        <v/>
      </c>
      <c r="AT70" s="246">
        <f>SUM($B45:M45)</f>
        <v/>
      </c>
      <c r="AU70" s="246">
        <f>SUM($B45:N45)</f>
        <v/>
      </c>
      <c r="AV70" s="246">
        <f>SUM($B45:O45)</f>
        <v/>
      </c>
      <c r="AW70" s="246">
        <f>SUM($B45:P45)</f>
        <v/>
      </c>
      <c r="AX70" s="246">
        <f>SUM($B45:Q45)</f>
        <v/>
      </c>
      <c r="AY70" s="246">
        <f>SUM($B45:R45)</f>
        <v/>
      </c>
      <c r="AZ70" s="246">
        <f>SUM($B45:S45)</f>
        <v/>
      </c>
      <c r="BA70" s="246">
        <f>SUM($B45:T45)</f>
        <v/>
      </c>
      <c r="BB70" s="246">
        <f>SUM($B45:U45)</f>
        <v/>
      </c>
      <c r="BC70" s="246">
        <f>SUM($B45:V45)</f>
        <v/>
      </c>
      <c r="BD70" s="246">
        <f>SUM($B45:W45)</f>
        <v/>
      </c>
      <c r="BE70" s="246">
        <f>SUM($B45:X45)</f>
        <v/>
      </c>
      <c r="BF70" s="246">
        <f>SUM($B45:Y45)</f>
        <v/>
      </c>
      <c r="BG70" s="246">
        <f>SUM($B45:Z45)</f>
        <v/>
      </c>
      <c r="BH70" s="246">
        <f>SUM($B45:AA45)</f>
        <v/>
      </c>
      <c r="BI70" s="246">
        <f>SUM($B45:AB45)</f>
        <v/>
      </c>
      <c r="BJ70" s="246">
        <f>SUM($B45:AC45)</f>
        <v/>
      </c>
      <c r="BK70" s="246">
        <f>SUM($B45:AD45)</f>
        <v/>
      </c>
      <c r="BL70" s="246" t="n"/>
      <c r="BM70" s="246" t="n"/>
      <c r="BN70" s="246" t="n"/>
    </row>
    <row r="71" ht="16.5" customHeight="1" thickBot="1">
      <c r="A71" s="6" t="inlineStr">
        <is>
          <t>CHEM</t>
        </is>
      </c>
      <c r="B71" s="55">
        <f>AVERAGE(B42:AD42)</f>
        <v/>
      </c>
      <c r="C71" s="48" t="n">
        <v>0</v>
      </c>
    </row>
    <row r="72" ht="16.5" customHeight="1" thickBot="1">
      <c r="A72" s="6" t="inlineStr">
        <is>
          <t>AUTO</t>
        </is>
      </c>
      <c r="B72" s="55">
        <f>AVERAGE(B43:AD43)</f>
        <v/>
      </c>
      <c r="C72" s="48" t="n">
        <v>0</v>
      </c>
    </row>
    <row r="73" ht="16.5" customHeight="1" thickBot="1">
      <c r="A73" s="9" t="inlineStr">
        <is>
          <t>OTHERS</t>
        </is>
      </c>
      <c r="B73" s="55">
        <f>AVERAGE(B44:AD44)</f>
        <v/>
      </c>
      <c r="C73" s="45" t="n">
        <v>0</v>
      </c>
    </row>
    <row r="74" ht="16.5" customHeight="1" thickBot="1">
      <c r="A74" s="10" t="inlineStr">
        <is>
          <t>TOTAL</t>
        </is>
      </c>
      <c r="B74" s="55">
        <f>SUM(B61:B73)</f>
        <v/>
      </c>
      <c r="C74" s="47">
        <f>SUM(C61:C73)</f>
        <v/>
      </c>
    </row>
    <row r="75" ht="16.5" customHeight="1" thickBot="1">
      <c r="B75" s="250" t="n"/>
    </row>
    <row r="76" ht="16.5" customHeight="1" thickBot="1">
      <c r="A76" s="10" t="inlineStr">
        <is>
          <t>DIV</t>
        </is>
      </c>
      <c r="B76" s="251" t="n">
        <v>31</v>
      </c>
      <c r="C76" s="28" t="inlineStr">
        <is>
          <t>wagons</t>
        </is>
      </c>
    </row>
    <row r="77" ht="16.5" customHeight="1" thickBot="1">
      <c r="A77" s="40" t="inlineStr">
        <is>
          <t>ADI</t>
        </is>
      </c>
      <c r="B77" s="55">
        <f>AVERAGE(B49:AD49)</f>
        <v/>
      </c>
      <c r="C77" s="49" t="n">
        <v>0</v>
      </c>
    </row>
    <row r="78" ht="16.5" customHeight="1" thickBot="1">
      <c r="A78" s="6" t="inlineStr">
        <is>
          <t>GIMB</t>
        </is>
      </c>
      <c r="B78" s="55">
        <f>AVERAGE(B50:AD50)</f>
        <v/>
      </c>
      <c r="C78" s="44" t="n">
        <v>0</v>
      </c>
    </row>
    <row r="79" ht="16.5" customHeight="1" thickBot="1">
      <c r="A79" s="6" t="inlineStr">
        <is>
          <t>BCT</t>
        </is>
      </c>
      <c r="B79" s="55">
        <f>AVERAGE(B51:AD51)</f>
        <v/>
      </c>
      <c r="C79" s="44" t="n">
        <v>0</v>
      </c>
    </row>
    <row r="80" ht="16.5" customHeight="1" thickBot="1">
      <c r="A80" s="6" t="inlineStr">
        <is>
          <t>BRC</t>
        </is>
      </c>
      <c r="B80" s="55">
        <f>AVERAGE(B52:AD52)</f>
        <v/>
      </c>
      <c r="C80" s="44" t="n">
        <v>0</v>
      </c>
    </row>
    <row r="81" ht="16.5" customHeight="1" thickBot="1">
      <c r="A81" s="6" t="inlineStr">
        <is>
          <t>RJT</t>
        </is>
      </c>
      <c r="B81" s="55">
        <f>AVERAGE(B53:AD53)</f>
        <v/>
      </c>
      <c r="C81" s="44" t="n">
        <v>0</v>
      </c>
    </row>
    <row r="82" ht="16.5" customHeight="1" thickBot="1">
      <c r="A82" s="6" t="inlineStr">
        <is>
          <t>BVP</t>
        </is>
      </c>
      <c r="B82" s="55">
        <f>AVERAGE(B54:AD54)</f>
        <v/>
      </c>
      <c r="C82" s="44" t="n">
        <v>0</v>
      </c>
    </row>
    <row r="83" ht="16.5" customHeight="1" thickBot="1">
      <c r="A83" s="9" t="inlineStr">
        <is>
          <t>RTM</t>
        </is>
      </c>
      <c r="B83" s="55">
        <f>AVERAGE(B55:AD55)</f>
        <v/>
      </c>
      <c r="C83" s="44" t="n">
        <v>0</v>
      </c>
    </row>
    <row r="84" ht="16.5" customHeight="1" thickBot="1">
      <c r="A84" s="10" t="inlineStr">
        <is>
          <t>TOTAL</t>
        </is>
      </c>
      <c r="B84" s="55">
        <f>SUM(B77:B83)</f>
        <v/>
      </c>
      <c r="C84" s="43">
        <f>SUM(C77:C83)</f>
        <v/>
      </c>
    </row>
    <row r="86" ht="15.75" customHeight="1" thickBot="1"/>
    <row r="87" ht="15.75" customHeight="1">
      <c r="A87" s="2186" t="inlineStr">
        <is>
          <t xml:space="preserve"> DAILY RAKES LDG </t>
        </is>
      </c>
      <c r="B87" s="2187" t="n"/>
      <c r="C87" s="2187" t="n"/>
      <c r="D87" s="2187" t="n"/>
      <c r="E87" s="2187" t="n"/>
      <c r="F87" s="2187" t="n"/>
      <c r="G87" s="2187" t="n"/>
      <c r="H87" s="2187" t="n"/>
      <c r="I87" s="2187" t="n"/>
      <c r="J87" s="2187" t="n"/>
      <c r="K87" s="2187" t="n"/>
      <c r="L87" s="2187" t="n"/>
      <c r="M87" s="2187" t="n"/>
      <c r="N87" s="2187" t="n"/>
      <c r="O87" s="2187" t="n"/>
      <c r="P87" s="2187" t="n"/>
      <c r="Q87" s="2187" t="n"/>
      <c r="R87" s="2187" t="n"/>
      <c r="S87" s="2187" t="n"/>
      <c r="T87" s="2187" t="n"/>
      <c r="U87" s="2187" t="n"/>
      <c r="V87" s="2187" t="n"/>
      <c r="W87" s="2187" t="n"/>
      <c r="X87" s="2187" t="n"/>
      <c r="Y87" s="2187" t="n"/>
      <c r="Z87" s="2187" t="n"/>
      <c r="AA87" s="2187" t="n"/>
      <c r="AB87" s="2187" t="n"/>
      <c r="AC87" s="2187" t="n"/>
      <c r="AD87" s="2187" t="n"/>
      <c r="AE87" s="2187" t="n"/>
      <c r="AF87" s="2188" t="n"/>
      <c r="AH87" s="2186" t="inlineStr">
        <is>
          <t xml:space="preserve">PROGRESSIVE RAKES LDG </t>
        </is>
      </c>
      <c r="AI87" s="2187" t="n"/>
      <c r="AJ87" s="2187" t="n"/>
      <c r="AK87" s="2187" t="n"/>
      <c r="AL87" s="2187" t="n"/>
      <c r="AM87" s="2187" t="n"/>
      <c r="AN87" s="2187" t="n"/>
      <c r="AO87" s="2187" t="n"/>
      <c r="AP87" s="2187" t="n"/>
      <c r="AQ87" s="2187" t="n"/>
      <c r="AR87" s="2187" t="n"/>
      <c r="AS87" s="2187" t="n"/>
      <c r="AT87" s="2187" t="n"/>
      <c r="AU87" s="2187" t="n"/>
      <c r="AV87" s="2187" t="n"/>
      <c r="AW87" s="2187" t="n"/>
      <c r="AX87" s="2187" t="n"/>
      <c r="AY87" s="2187" t="n"/>
      <c r="AZ87" s="2187" t="n"/>
      <c r="BA87" s="2187" t="n"/>
      <c r="BB87" s="2187" t="n"/>
      <c r="BC87" s="2187" t="n"/>
      <c r="BD87" s="2187" t="n"/>
      <c r="BE87" s="2187" t="n"/>
      <c r="BF87" s="2187" t="n"/>
      <c r="BG87" s="2187" t="n"/>
      <c r="BH87" s="2187" t="n"/>
      <c r="BI87" s="2187" t="n"/>
      <c r="BJ87" s="2187" t="n"/>
      <c r="BK87" s="2187" t="n"/>
      <c r="BL87" s="2187" t="n"/>
      <c r="BM87" s="2188" t="n"/>
      <c r="BO87" s="2186" t="inlineStr">
        <is>
          <t>AVERAGE RAKES LOADING</t>
        </is>
      </c>
      <c r="BP87" s="2187" t="n"/>
      <c r="BQ87" s="2187" t="n"/>
      <c r="BR87" s="2187" t="n"/>
      <c r="BS87" s="2187" t="n"/>
      <c r="BT87" s="2187" t="n"/>
      <c r="BU87" s="2187" t="n"/>
      <c r="BV87" s="2187" t="n"/>
      <c r="BW87" s="2187" t="n"/>
      <c r="BX87" s="2187" t="n"/>
      <c r="BY87" s="2187" t="n"/>
      <c r="BZ87" s="2187" t="n"/>
      <c r="CA87" s="2187" t="n"/>
      <c r="CB87" s="2187" t="n"/>
      <c r="CC87" s="2187" t="n"/>
      <c r="CD87" s="2187" t="n"/>
      <c r="CE87" s="2187" t="n"/>
      <c r="CF87" s="2187" t="n"/>
      <c r="CG87" s="2187" t="n"/>
      <c r="CH87" s="2187" t="n"/>
      <c r="CI87" s="2187" t="n"/>
      <c r="CJ87" s="2187" t="n"/>
      <c r="CK87" s="2187" t="n"/>
      <c r="CL87" s="2187" t="n"/>
      <c r="CM87" s="2187" t="n"/>
      <c r="CN87" s="2187" t="n"/>
      <c r="CO87" s="2187" t="n"/>
      <c r="CP87" s="2187" t="n"/>
      <c r="CQ87" s="2187" t="n"/>
      <c r="CR87" s="2187" t="n"/>
      <c r="CS87" s="2187" t="n"/>
      <c r="CT87" s="2188" t="n"/>
    </row>
    <row r="88" ht="15.75" customHeight="1">
      <c r="A88" s="13" t="inlineStr">
        <is>
          <t>STOCK</t>
        </is>
      </c>
      <c r="B88" s="1" t="n">
        <v>1</v>
      </c>
      <c r="C88" s="1" t="n">
        <v>2</v>
      </c>
      <c r="D88" s="1" t="n">
        <v>3</v>
      </c>
      <c r="E88" s="1" t="n">
        <v>4</v>
      </c>
      <c r="F88" s="1" t="n">
        <v>5</v>
      </c>
      <c r="G88" s="1" t="n">
        <v>6</v>
      </c>
      <c r="H88" s="1" t="n">
        <v>7</v>
      </c>
      <c r="I88" s="1" t="n">
        <v>8</v>
      </c>
      <c r="J88" s="1" t="n">
        <v>9</v>
      </c>
      <c r="K88" s="1" t="n">
        <v>10</v>
      </c>
      <c r="L88" s="1" t="n">
        <v>11</v>
      </c>
      <c r="M88" s="1" t="n">
        <v>12</v>
      </c>
      <c r="N88" s="1" t="n">
        <v>13</v>
      </c>
      <c r="O88" s="1" t="n">
        <v>14</v>
      </c>
      <c r="P88" s="1" t="n">
        <v>15</v>
      </c>
      <c r="Q88" s="1" t="n">
        <v>16</v>
      </c>
      <c r="R88" s="1" t="n">
        <v>17</v>
      </c>
      <c r="S88" s="1" t="n">
        <v>18</v>
      </c>
      <c r="T88" s="1" t="n">
        <v>19</v>
      </c>
      <c r="U88" s="1" t="n">
        <v>20</v>
      </c>
      <c r="V88" s="1" t="n">
        <v>21</v>
      </c>
      <c r="W88" s="1" t="n">
        <v>22</v>
      </c>
      <c r="X88" s="1" t="n">
        <v>23</v>
      </c>
      <c r="Y88" s="1" t="n">
        <v>24</v>
      </c>
      <c r="Z88" s="1" t="n">
        <v>25</v>
      </c>
      <c r="AA88" s="1" t="n">
        <v>26</v>
      </c>
      <c r="AB88" s="1" t="n">
        <v>27</v>
      </c>
      <c r="AC88" s="1" t="n">
        <v>28</v>
      </c>
      <c r="AD88" s="1" t="n">
        <v>29</v>
      </c>
      <c r="AE88" s="1" t="n">
        <v>30</v>
      </c>
      <c r="AF88" s="31" t="n">
        <v>31</v>
      </c>
      <c r="AH88" s="13" t="inlineStr">
        <is>
          <t>STOCK</t>
        </is>
      </c>
      <c r="AI88" s="1" t="n">
        <v>1</v>
      </c>
      <c r="AJ88" s="1" t="n">
        <v>2</v>
      </c>
      <c r="AK88" s="1" t="n">
        <v>3</v>
      </c>
      <c r="AL88" s="1" t="n">
        <v>4</v>
      </c>
      <c r="AM88" s="1" t="n">
        <v>5</v>
      </c>
      <c r="AN88" s="1" t="n">
        <v>6</v>
      </c>
      <c r="AO88" s="1" t="n">
        <v>7</v>
      </c>
      <c r="AP88" s="1" t="n">
        <v>8</v>
      </c>
      <c r="AQ88" s="1" t="n">
        <v>9</v>
      </c>
      <c r="AR88" s="1" t="n">
        <v>10</v>
      </c>
      <c r="AS88" s="1" t="n">
        <v>11</v>
      </c>
      <c r="AT88" s="1" t="n">
        <v>12</v>
      </c>
      <c r="AU88" s="1" t="n">
        <v>13</v>
      </c>
      <c r="AV88" s="1" t="n">
        <v>14</v>
      </c>
      <c r="AW88" s="1" t="n">
        <v>15</v>
      </c>
      <c r="AX88" s="1" t="n">
        <v>16</v>
      </c>
      <c r="AY88" s="1" t="n">
        <v>17</v>
      </c>
      <c r="AZ88" s="1" t="n">
        <v>18</v>
      </c>
      <c r="BA88" s="1" t="n">
        <v>19</v>
      </c>
      <c r="BB88" s="1" t="n">
        <v>20</v>
      </c>
      <c r="BC88" s="1" t="n">
        <v>21</v>
      </c>
      <c r="BD88" s="1" t="n">
        <v>22</v>
      </c>
      <c r="BE88" s="1" t="n">
        <v>23</v>
      </c>
      <c r="BF88" s="1" t="n">
        <v>24</v>
      </c>
      <c r="BG88" s="1" t="n">
        <v>25</v>
      </c>
      <c r="BH88" s="1" t="n">
        <v>26</v>
      </c>
      <c r="BI88" s="1" t="n">
        <v>27</v>
      </c>
      <c r="BJ88" s="1" t="n">
        <v>28</v>
      </c>
      <c r="BK88" s="1" t="n">
        <v>29</v>
      </c>
      <c r="BL88" s="1" t="n">
        <v>30</v>
      </c>
      <c r="BM88" s="31" t="n">
        <v>31</v>
      </c>
      <c r="BO88" s="13" t="inlineStr">
        <is>
          <t>STOCK</t>
        </is>
      </c>
      <c r="BP88" s="1" t="n">
        <v>1</v>
      </c>
      <c r="BQ88" s="1" t="n">
        <v>2</v>
      </c>
      <c r="BR88" s="1" t="n">
        <v>3</v>
      </c>
      <c r="BS88" s="1" t="n">
        <v>4</v>
      </c>
      <c r="BT88" s="1" t="n">
        <v>5</v>
      </c>
      <c r="BU88" s="1" t="n">
        <v>6</v>
      </c>
      <c r="BV88" s="1" t="n">
        <v>7</v>
      </c>
      <c r="BW88" s="1" t="n">
        <v>8</v>
      </c>
      <c r="BX88" s="1" t="n">
        <v>9</v>
      </c>
      <c r="BY88" s="1" t="n">
        <v>10</v>
      </c>
      <c r="BZ88" s="1" t="n">
        <v>11</v>
      </c>
      <c r="CA88" s="1" t="n">
        <v>12</v>
      </c>
      <c r="CB88" s="1" t="n">
        <v>13</v>
      </c>
      <c r="CC88" s="1" t="n">
        <v>14</v>
      </c>
      <c r="CD88" s="1" t="n">
        <v>15</v>
      </c>
      <c r="CE88" s="1" t="n">
        <v>16</v>
      </c>
      <c r="CF88" s="1" t="n">
        <v>17</v>
      </c>
      <c r="CG88" s="1" t="n">
        <v>18</v>
      </c>
      <c r="CH88" s="1" t="n">
        <v>19</v>
      </c>
      <c r="CI88" s="1" t="n">
        <v>20</v>
      </c>
      <c r="CJ88" s="1" t="n">
        <v>21</v>
      </c>
      <c r="CK88" s="1" t="n">
        <v>22</v>
      </c>
      <c r="CL88" s="1" t="n">
        <v>23</v>
      </c>
      <c r="CM88" s="1" t="n">
        <v>24</v>
      </c>
      <c r="CN88" s="1" t="n">
        <v>25</v>
      </c>
      <c r="CO88" s="1" t="n">
        <v>26</v>
      </c>
      <c r="CP88" s="1" t="n">
        <v>27</v>
      </c>
      <c r="CQ88" s="1" t="n">
        <v>28</v>
      </c>
      <c r="CR88" s="1" t="n">
        <v>29</v>
      </c>
      <c r="CS88" s="1" t="n">
        <v>30</v>
      </c>
      <c r="CT88" s="31" t="n">
        <v>31</v>
      </c>
    </row>
    <row r="89" ht="15.75" customHeight="1">
      <c r="A89" s="13" t="inlineStr">
        <is>
          <t>JUMBO</t>
        </is>
      </c>
      <c r="B89" s="18">
        <f>'1'!P21</f>
        <v/>
      </c>
      <c r="C89" s="18">
        <f>'2'!P21</f>
        <v/>
      </c>
      <c r="D89" s="18">
        <f>'3'!P21</f>
        <v/>
      </c>
      <c r="E89" s="18">
        <f>'4'!P21</f>
        <v/>
      </c>
      <c r="F89" s="18">
        <f>'5'!P21</f>
        <v/>
      </c>
      <c r="G89" s="18">
        <f>'6'!P21</f>
        <v/>
      </c>
      <c r="H89" s="18">
        <f>'7'!P21</f>
        <v/>
      </c>
      <c r="I89" s="18">
        <f>'8'!P21</f>
        <v/>
      </c>
      <c r="J89" s="18">
        <f>'9'!P21</f>
        <v/>
      </c>
      <c r="K89" s="18">
        <f>'10'!P21</f>
        <v/>
      </c>
      <c r="L89" s="18">
        <f>'11'!P21</f>
        <v/>
      </c>
      <c r="M89" s="18">
        <f>'12'!P21</f>
        <v/>
      </c>
      <c r="N89" s="18">
        <f>'13'!P21</f>
        <v/>
      </c>
      <c r="O89" s="18">
        <f>'14'!P21</f>
        <v/>
      </c>
      <c r="P89" s="18">
        <f>'15'!P21</f>
        <v/>
      </c>
      <c r="Q89" s="18">
        <f>'16'!P21</f>
        <v/>
      </c>
      <c r="R89" s="18">
        <f>'17'!P21</f>
        <v/>
      </c>
      <c r="S89" s="18">
        <f>'18'!P21</f>
        <v/>
      </c>
      <c r="T89" s="18">
        <f>'19'!P21</f>
        <v/>
      </c>
      <c r="U89" s="18">
        <f>'20'!P21</f>
        <v/>
      </c>
      <c r="V89" s="18">
        <f>'21'!P21</f>
        <v/>
      </c>
      <c r="W89" s="18">
        <f>'22'!P21</f>
        <v/>
      </c>
      <c r="X89" s="18">
        <f>'23'!P21</f>
        <v/>
      </c>
      <c r="Y89" s="18">
        <f>'24'!P21</f>
        <v/>
      </c>
      <c r="Z89" s="18">
        <f>'25'!P21</f>
        <v/>
      </c>
      <c r="AA89" s="18">
        <f>'26'!P21</f>
        <v/>
      </c>
      <c r="AB89" s="18">
        <f>'27'!P21</f>
        <v/>
      </c>
      <c r="AC89" s="18">
        <f>'28'!P21</f>
        <v/>
      </c>
      <c r="AD89" s="18">
        <f>'29'!P21</f>
        <v/>
      </c>
      <c r="AE89" s="18" t="n"/>
      <c r="AF89" s="22" t="n"/>
      <c r="AH89" s="13" t="inlineStr">
        <is>
          <t>JUMBO</t>
        </is>
      </c>
      <c r="AI89" s="18">
        <f>B89</f>
        <v/>
      </c>
      <c r="AJ89" s="18">
        <f>AI89+C89</f>
        <v/>
      </c>
      <c r="AK89" s="18">
        <f>AJ89+D89</f>
        <v/>
      </c>
      <c r="AL89" s="18">
        <f>AK89+E89</f>
        <v/>
      </c>
      <c r="AM89" s="18">
        <f>AL89+F89</f>
        <v/>
      </c>
      <c r="AN89" s="18">
        <f>AM89+G89</f>
        <v/>
      </c>
      <c r="AO89" s="18">
        <f>AN89+H89</f>
        <v/>
      </c>
      <c r="AP89" s="18">
        <f>AO89+I89</f>
        <v/>
      </c>
      <c r="AQ89" s="18">
        <f>AP89+J89</f>
        <v/>
      </c>
      <c r="AR89" s="18">
        <f>AQ89+K89</f>
        <v/>
      </c>
      <c r="AS89" s="18">
        <f>AR89+L89</f>
        <v/>
      </c>
      <c r="AT89" s="18">
        <f>AS89+M89</f>
        <v/>
      </c>
      <c r="AU89" s="18">
        <f>AT89+N89</f>
        <v/>
      </c>
      <c r="AV89" s="18">
        <f>AU89+O89</f>
        <v/>
      </c>
      <c r="AW89" s="18">
        <f>AV89+P89</f>
        <v/>
      </c>
      <c r="AX89" s="18">
        <f>AW89+Q89</f>
        <v/>
      </c>
      <c r="AY89" s="18">
        <f>AX89+R89</f>
        <v/>
      </c>
      <c r="AZ89" s="18">
        <f>AY89+S89</f>
        <v/>
      </c>
      <c r="BA89" s="18">
        <f>AZ89+T89</f>
        <v/>
      </c>
      <c r="BB89" s="18">
        <f>BA89+U89</f>
        <v/>
      </c>
      <c r="BC89" s="18">
        <f>BB89+V89</f>
        <v/>
      </c>
      <c r="BD89" s="18">
        <f>BC89+W89</f>
        <v/>
      </c>
      <c r="BE89" s="18">
        <f>BD89+X89</f>
        <v/>
      </c>
      <c r="BF89" s="18">
        <f>BE89+Y89</f>
        <v/>
      </c>
      <c r="BG89" s="18">
        <f>BF89+Z89</f>
        <v/>
      </c>
      <c r="BH89" s="18">
        <f>BG89+AA89</f>
        <v/>
      </c>
      <c r="BI89" s="18">
        <f>BH89+AB89</f>
        <v/>
      </c>
      <c r="BJ89" s="18">
        <f>BI89+AC89</f>
        <v/>
      </c>
      <c r="BK89" s="18">
        <f>BJ89+AD89</f>
        <v/>
      </c>
      <c r="BL89" s="18">
        <f>BK89+AE89</f>
        <v/>
      </c>
      <c r="BM89" s="18">
        <f>BL89+AF89</f>
        <v/>
      </c>
      <c r="BO89" s="13" t="inlineStr">
        <is>
          <t>JUMBO</t>
        </is>
      </c>
      <c r="BP89" s="18">
        <f>AI89/$AI$88</f>
        <v/>
      </c>
      <c r="BQ89" s="18">
        <f>AJ89/$AJ$88</f>
        <v/>
      </c>
      <c r="BR89" s="18">
        <f>AK89/$AK$88</f>
        <v/>
      </c>
      <c r="BS89" s="18">
        <f>AL89/$AL$88</f>
        <v/>
      </c>
      <c r="BT89" s="18">
        <f>AM89/$AM$88</f>
        <v/>
      </c>
      <c r="BU89" s="18">
        <f>AN89/$AN$88</f>
        <v/>
      </c>
      <c r="BV89" s="18">
        <f>AO89/$AO$88</f>
        <v/>
      </c>
      <c r="BW89" s="18">
        <f>AP89/$AP$88</f>
        <v/>
      </c>
      <c r="BX89" s="18">
        <f>AQ89/$AQ$88</f>
        <v/>
      </c>
      <c r="BY89" s="18">
        <f>AR89/$AR$88</f>
        <v/>
      </c>
      <c r="BZ89" s="18">
        <f>AS89/$AS$88</f>
        <v/>
      </c>
      <c r="CA89" s="18">
        <f>AT89/$AT$88</f>
        <v/>
      </c>
      <c r="CB89" s="18">
        <f>AU89/$AU$88</f>
        <v/>
      </c>
      <c r="CC89" s="18">
        <f>AV89/$AV$88</f>
        <v/>
      </c>
      <c r="CD89" s="18">
        <f>AW89/$AW$88</f>
        <v/>
      </c>
      <c r="CE89" s="18">
        <f>AX89/$AX$88</f>
        <v/>
      </c>
      <c r="CF89" s="18">
        <f>AY89/$AY$88</f>
        <v/>
      </c>
      <c r="CG89" s="18">
        <f>AZ89/$AZ$88</f>
        <v/>
      </c>
      <c r="CH89" s="18">
        <f>BA89/$BA$88</f>
        <v/>
      </c>
      <c r="CI89" s="18">
        <f>BB89/$BB$88</f>
        <v/>
      </c>
      <c r="CJ89" s="18">
        <f>BC89/$BC$88</f>
        <v/>
      </c>
      <c r="CK89" s="18">
        <f>BD89/$BD$88</f>
        <v/>
      </c>
      <c r="CL89" s="18">
        <f>BE89/$BE$88</f>
        <v/>
      </c>
      <c r="CM89" s="18">
        <f>BF89/$BF$88</f>
        <v/>
      </c>
      <c r="CN89" s="18">
        <f>BG89/$BG$88</f>
        <v/>
      </c>
      <c r="CO89" s="18">
        <f>BH89/$BH$88</f>
        <v/>
      </c>
      <c r="CP89" s="18">
        <f>BI89/$BI$88</f>
        <v/>
      </c>
      <c r="CQ89" s="18">
        <f>BJ89/$BJ$88</f>
        <v/>
      </c>
      <c r="CR89" s="18">
        <f>BK89/$BK$88</f>
        <v/>
      </c>
      <c r="CS89" s="18">
        <f>BL89/$BL$88</f>
        <v/>
      </c>
      <c r="CT89" s="18">
        <f>BM89/$BM$88</f>
        <v/>
      </c>
    </row>
    <row r="90" ht="15.75" customHeight="1">
      <c r="A90" s="13" t="inlineStr">
        <is>
          <t>BOXN</t>
        </is>
      </c>
      <c r="B90" s="18">
        <f>'1'!P22</f>
        <v/>
      </c>
      <c r="C90" s="18">
        <f>'2'!P22</f>
        <v/>
      </c>
      <c r="D90" s="18">
        <f>'3'!P22</f>
        <v/>
      </c>
      <c r="E90" s="18">
        <f>'4'!P22</f>
        <v/>
      </c>
      <c r="F90" s="18">
        <f>'5'!P22</f>
        <v/>
      </c>
      <c r="G90" s="18">
        <f>'6'!P22</f>
        <v/>
      </c>
      <c r="H90" s="18">
        <f>'7'!P22</f>
        <v/>
      </c>
      <c r="I90" s="18">
        <f>'8'!P22</f>
        <v/>
      </c>
      <c r="J90" s="18">
        <f>'9'!P22</f>
        <v/>
      </c>
      <c r="K90" s="18">
        <f>'10'!P22</f>
        <v/>
      </c>
      <c r="L90" s="18">
        <f>'11'!P22</f>
        <v/>
      </c>
      <c r="M90" s="18">
        <f>'12'!P22</f>
        <v/>
      </c>
      <c r="N90" s="18">
        <f>'13'!P22</f>
        <v/>
      </c>
      <c r="O90" s="18">
        <f>'14'!P22</f>
        <v/>
      </c>
      <c r="P90" s="18">
        <f>'15'!P22</f>
        <v/>
      </c>
      <c r="Q90" s="18">
        <f>'16'!P22</f>
        <v/>
      </c>
      <c r="R90" s="18">
        <f>'17'!P22</f>
        <v/>
      </c>
      <c r="S90" s="18">
        <f>'18'!P22</f>
        <v/>
      </c>
      <c r="T90" s="18">
        <f>'19'!P22</f>
        <v/>
      </c>
      <c r="U90" s="18">
        <f>'20'!P22</f>
        <v/>
      </c>
      <c r="V90" s="18">
        <f>'21'!P22</f>
        <v/>
      </c>
      <c r="W90" s="18">
        <f>'22'!P22</f>
        <v/>
      </c>
      <c r="X90" s="18">
        <f>'23'!P22</f>
        <v/>
      </c>
      <c r="Y90" s="18">
        <f>'24'!P22</f>
        <v/>
      </c>
      <c r="Z90" s="18">
        <f>'25'!P22</f>
        <v/>
      </c>
      <c r="AA90" s="18">
        <f>'26'!P22</f>
        <v/>
      </c>
      <c r="AB90" s="18">
        <f>'27'!P22</f>
        <v/>
      </c>
      <c r="AC90" s="18">
        <f>'28'!P22</f>
        <v/>
      </c>
      <c r="AD90" s="18">
        <f>'29'!P22</f>
        <v/>
      </c>
      <c r="AE90" s="18" t="n"/>
      <c r="AF90" s="22" t="n"/>
      <c r="AH90" s="13" t="inlineStr">
        <is>
          <t>BOXN</t>
        </is>
      </c>
      <c r="AI90" s="18">
        <f>B90</f>
        <v/>
      </c>
      <c r="AJ90" s="18">
        <f>AI90+C90</f>
        <v/>
      </c>
      <c r="AK90" s="18">
        <f>AJ90+D90</f>
        <v/>
      </c>
      <c r="AL90" s="18">
        <f>AK90+E90</f>
        <v/>
      </c>
      <c r="AM90" s="18">
        <f>AL90+F90</f>
        <v/>
      </c>
      <c r="AN90" s="18">
        <f>AM90+G90</f>
        <v/>
      </c>
      <c r="AO90" s="18">
        <f>AN90+H90</f>
        <v/>
      </c>
      <c r="AP90" s="18">
        <f>AO90+I90</f>
        <v/>
      </c>
      <c r="AQ90" s="18">
        <f>AP90+J90</f>
        <v/>
      </c>
      <c r="AR90" s="18">
        <f>AQ90+K90</f>
        <v/>
      </c>
      <c r="AS90" s="18">
        <f>AR90+L90</f>
        <v/>
      </c>
      <c r="AT90" s="18">
        <f>AS90+M90</f>
        <v/>
      </c>
      <c r="AU90" s="18">
        <f>AT90+N90</f>
        <v/>
      </c>
      <c r="AV90" s="18">
        <f>AU90+O90</f>
        <v/>
      </c>
      <c r="AW90" s="18">
        <f>AV90+P90</f>
        <v/>
      </c>
      <c r="AX90" s="18">
        <f>AW90+Q90</f>
        <v/>
      </c>
      <c r="AY90" s="18">
        <f>AX90+R90</f>
        <v/>
      </c>
      <c r="AZ90" s="18">
        <f>AY90+S90</f>
        <v/>
      </c>
      <c r="BA90" s="18">
        <f>AZ90+T90</f>
        <v/>
      </c>
      <c r="BB90" s="18">
        <f>BA90+U90</f>
        <v/>
      </c>
      <c r="BC90" s="18">
        <f>BB90+V90</f>
        <v/>
      </c>
      <c r="BD90" s="18">
        <f>BC90+W90</f>
        <v/>
      </c>
      <c r="BE90" s="18">
        <f>BD90+X90</f>
        <v/>
      </c>
      <c r="BF90" s="18">
        <f>BE90+Y90</f>
        <v/>
      </c>
      <c r="BG90" s="18">
        <f>BF90+Z90</f>
        <v/>
      </c>
      <c r="BH90" s="18">
        <f>BG90+AA90</f>
        <v/>
      </c>
      <c r="BI90" s="18">
        <f>BH90+AB90</f>
        <v/>
      </c>
      <c r="BJ90" s="18">
        <f>BI90+AC90</f>
        <v/>
      </c>
      <c r="BK90" s="18">
        <f>BJ90+AD90</f>
        <v/>
      </c>
      <c r="BL90" s="18">
        <f>BK90+AE90</f>
        <v/>
      </c>
      <c r="BM90" s="18">
        <f>BL90+AF90</f>
        <v/>
      </c>
      <c r="BO90" s="13" t="inlineStr">
        <is>
          <t>BOXN</t>
        </is>
      </c>
      <c r="BP90" s="18">
        <f>AI90/$AI$88</f>
        <v/>
      </c>
      <c r="BQ90" s="18">
        <f>AJ90/$AJ$88</f>
        <v/>
      </c>
      <c r="BR90" s="18">
        <f>AK90/$AK$88</f>
        <v/>
      </c>
      <c r="BS90" s="18">
        <f>AL90/$AL$88</f>
        <v/>
      </c>
      <c r="BT90" s="18">
        <f>AM90/$AM$88</f>
        <v/>
      </c>
      <c r="BU90" s="18">
        <f>AN90/$AN$88</f>
        <v/>
      </c>
      <c r="BV90" s="18">
        <f>AO90/$AO$88</f>
        <v/>
      </c>
      <c r="BW90" s="18">
        <f>AP90/$AP$88</f>
        <v/>
      </c>
      <c r="BX90" s="18">
        <f>AQ90/$AQ$88</f>
        <v/>
      </c>
      <c r="BY90" s="18">
        <f>AR90/$AR$88</f>
        <v/>
      </c>
      <c r="BZ90" s="18">
        <f>AS90/$AS$88</f>
        <v/>
      </c>
      <c r="CA90" s="18">
        <f>AT90/$AT$88</f>
        <v/>
      </c>
      <c r="CB90" s="18">
        <f>AU90/$AU$88</f>
        <v/>
      </c>
      <c r="CC90" s="18">
        <f>AV90/$AV$88</f>
        <v/>
      </c>
      <c r="CD90" s="18">
        <f>AW90/$AW$88</f>
        <v/>
      </c>
      <c r="CE90" s="18">
        <f>AX90/$AX$88</f>
        <v/>
      </c>
      <c r="CF90" s="18">
        <f>AY90/$AY$88</f>
        <v/>
      </c>
      <c r="CG90" s="18">
        <f>AZ90/$AZ$88</f>
        <v/>
      </c>
      <c r="CH90" s="18">
        <f>BA90/$BA$88</f>
        <v/>
      </c>
      <c r="CI90" s="18">
        <f>BB90/$BB$88</f>
        <v/>
      </c>
      <c r="CJ90" s="18">
        <f>BC90/$BC$88</f>
        <v/>
      </c>
      <c r="CK90" s="18">
        <f>BD90/$BD$88</f>
        <v/>
      </c>
      <c r="CL90" s="18">
        <f>BE90/$BE$88</f>
        <v/>
      </c>
      <c r="CM90" s="18">
        <f>BF90/$BF$88</f>
        <v/>
      </c>
      <c r="CN90" s="18">
        <f>BG90/$BG$88</f>
        <v/>
      </c>
      <c r="CO90" s="18">
        <f>BH90/$BH$88</f>
        <v/>
      </c>
      <c r="CP90" s="18">
        <f>BI90/$BI$88</f>
        <v/>
      </c>
      <c r="CQ90" s="18">
        <f>BJ90/$BJ$88</f>
        <v/>
      </c>
      <c r="CR90" s="18">
        <f>BK90/$BK$88</f>
        <v/>
      </c>
      <c r="CS90" s="18">
        <f>BL90/$BL$88</f>
        <v/>
      </c>
      <c r="CT90" s="18">
        <f>BM90/$BM$88</f>
        <v/>
      </c>
    </row>
    <row r="91" ht="15.75" customHeight="1">
      <c r="A91" s="13" t="inlineStr">
        <is>
          <t>BTPN</t>
        </is>
      </c>
      <c r="B91" s="18">
        <f>'1'!P23</f>
        <v/>
      </c>
      <c r="C91" s="18">
        <f>'2'!P23</f>
        <v/>
      </c>
      <c r="D91" s="18">
        <f>'3'!P23</f>
        <v/>
      </c>
      <c r="E91" s="18">
        <f>'4'!P23</f>
        <v/>
      </c>
      <c r="F91" s="18">
        <f>'5'!P23</f>
        <v/>
      </c>
      <c r="G91" s="18">
        <f>'6'!P23</f>
        <v/>
      </c>
      <c r="H91" s="18">
        <f>'7'!P23</f>
        <v/>
      </c>
      <c r="I91" s="18">
        <f>'8'!P23</f>
        <v/>
      </c>
      <c r="J91" s="18">
        <f>'9'!P23</f>
        <v/>
      </c>
      <c r="K91" s="18">
        <f>'10'!P23</f>
        <v/>
      </c>
      <c r="L91" s="18">
        <f>'11'!P23</f>
        <v/>
      </c>
      <c r="M91" s="18">
        <f>'12'!P23</f>
        <v/>
      </c>
      <c r="N91" s="18">
        <f>'13'!P23</f>
        <v/>
      </c>
      <c r="O91" s="18">
        <f>'14'!P23</f>
        <v/>
      </c>
      <c r="P91" s="18">
        <f>'15'!P23</f>
        <v/>
      </c>
      <c r="Q91" s="18">
        <f>'16'!P23</f>
        <v/>
      </c>
      <c r="R91" s="18">
        <f>'17'!P23</f>
        <v/>
      </c>
      <c r="S91" s="18">
        <f>'18'!P23</f>
        <v/>
      </c>
      <c r="T91" s="18">
        <f>'19'!P23</f>
        <v/>
      </c>
      <c r="U91" s="18">
        <f>'20'!P23</f>
        <v/>
      </c>
      <c r="V91" s="18">
        <f>'21'!P23</f>
        <v/>
      </c>
      <c r="W91" s="18">
        <f>'22'!P23</f>
        <v/>
      </c>
      <c r="X91" s="18">
        <f>'23'!P23</f>
        <v/>
      </c>
      <c r="Y91" s="18">
        <f>'24'!P23</f>
        <v/>
      </c>
      <c r="Z91" s="18">
        <f>'25'!P23</f>
        <v/>
      </c>
      <c r="AA91" s="18">
        <f>'26'!P23</f>
        <v/>
      </c>
      <c r="AB91" s="18">
        <f>'27'!P23</f>
        <v/>
      </c>
      <c r="AC91" s="18">
        <f>'28'!P23</f>
        <v/>
      </c>
      <c r="AD91" s="18">
        <f>'29'!P23</f>
        <v/>
      </c>
      <c r="AE91" s="18" t="n"/>
      <c r="AF91" s="22" t="n"/>
      <c r="AH91" s="13" t="inlineStr">
        <is>
          <t>BTPN</t>
        </is>
      </c>
      <c r="AI91" s="18">
        <f>B91</f>
        <v/>
      </c>
      <c r="AJ91" s="18">
        <f>AI91+C91</f>
        <v/>
      </c>
      <c r="AK91" s="18">
        <f>AJ91+D91</f>
        <v/>
      </c>
      <c r="AL91" s="18">
        <f>AK91+E91</f>
        <v/>
      </c>
      <c r="AM91" s="18">
        <f>AL91+F91</f>
        <v/>
      </c>
      <c r="AN91" s="18">
        <f>AM91+G91</f>
        <v/>
      </c>
      <c r="AO91" s="18">
        <f>AN91+H91</f>
        <v/>
      </c>
      <c r="AP91" s="18">
        <f>AO91+I91</f>
        <v/>
      </c>
      <c r="AQ91" s="18">
        <f>AP91+J91</f>
        <v/>
      </c>
      <c r="AR91" s="18">
        <f>AQ91+K91</f>
        <v/>
      </c>
      <c r="AS91" s="18">
        <f>AR91+L91</f>
        <v/>
      </c>
      <c r="AT91" s="18">
        <f>AS91+M91</f>
        <v/>
      </c>
      <c r="AU91" s="18">
        <f>AT91+N91</f>
        <v/>
      </c>
      <c r="AV91" s="18">
        <f>AU91+O91</f>
        <v/>
      </c>
      <c r="AW91" s="18">
        <f>AV91+P91</f>
        <v/>
      </c>
      <c r="AX91" s="18">
        <f>AW91+Q91</f>
        <v/>
      </c>
      <c r="AY91" s="18">
        <f>AX91+R91</f>
        <v/>
      </c>
      <c r="AZ91" s="18">
        <f>AY91+S91</f>
        <v/>
      </c>
      <c r="BA91" s="18">
        <f>AZ91+T91</f>
        <v/>
      </c>
      <c r="BB91" s="18">
        <f>BA91+U91</f>
        <v/>
      </c>
      <c r="BC91" s="18">
        <f>BB91+V91</f>
        <v/>
      </c>
      <c r="BD91" s="18">
        <f>BC91+W91</f>
        <v/>
      </c>
      <c r="BE91" s="18">
        <f>BD91+X91</f>
        <v/>
      </c>
      <c r="BF91" s="18">
        <f>BE91+Y91</f>
        <v/>
      </c>
      <c r="BG91" s="18">
        <f>BF91+Z91</f>
        <v/>
      </c>
      <c r="BH91" s="18">
        <f>BG91+AA91</f>
        <v/>
      </c>
      <c r="BI91" s="18">
        <f>BH91+AB91</f>
        <v/>
      </c>
      <c r="BJ91" s="18">
        <f>BI91+AC91</f>
        <v/>
      </c>
      <c r="BK91" s="18">
        <f>BJ91+AD91</f>
        <v/>
      </c>
      <c r="BL91" s="18">
        <f>BK91+AE91</f>
        <v/>
      </c>
      <c r="BM91" s="18">
        <f>BL91+AF91</f>
        <v/>
      </c>
      <c r="BO91" s="13" t="inlineStr">
        <is>
          <t>BTPN</t>
        </is>
      </c>
      <c r="BP91" s="18">
        <f>AI91/$AI$88</f>
        <v/>
      </c>
      <c r="BQ91" s="18">
        <f>AJ91/$AJ$88</f>
        <v/>
      </c>
      <c r="BR91" s="18">
        <f>AK91/$AK$88</f>
        <v/>
      </c>
      <c r="BS91" s="18">
        <f>AL91/$AL$88</f>
        <v/>
      </c>
      <c r="BT91" s="18">
        <f>AM91/$AM$88</f>
        <v/>
      </c>
      <c r="BU91" s="18">
        <f>AN91/$AN$88</f>
        <v/>
      </c>
      <c r="BV91" s="18">
        <f>AO91/$AO$88</f>
        <v/>
      </c>
      <c r="BW91" s="18">
        <f>AP91/$AP$88</f>
        <v/>
      </c>
      <c r="BX91" s="18">
        <f>AQ91/$AQ$88</f>
        <v/>
      </c>
      <c r="BY91" s="18">
        <f>AR91/$AR$88</f>
        <v/>
      </c>
      <c r="BZ91" s="18">
        <f>AS91/$AS$88</f>
        <v/>
      </c>
      <c r="CA91" s="18">
        <f>AT91/$AT$88</f>
        <v/>
      </c>
      <c r="CB91" s="18">
        <f>AU91/$AU$88</f>
        <v/>
      </c>
      <c r="CC91" s="18">
        <f>AV91/$AV$88</f>
        <v/>
      </c>
      <c r="CD91" s="18">
        <f>AW91/$AW$88</f>
        <v/>
      </c>
      <c r="CE91" s="18">
        <f>AX91/$AX$88</f>
        <v/>
      </c>
      <c r="CF91" s="18">
        <f>AY91/$AY$88</f>
        <v/>
      </c>
      <c r="CG91" s="18">
        <f>AZ91/$AZ$88</f>
        <v/>
      </c>
      <c r="CH91" s="18">
        <f>BA91/$BA$88</f>
        <v/>
      </c>
      <c r="CI91" s="18">
        <f>BB91/$BB$88</f>
        <v/>
      </c>
      <c r="CJ91" s="18">
        <f>BC91/$BC$88</f>
        <v/>
      </c>
      <c r="CK91" s="18">
        <f>BD91/$BD$88</f>
        <v/>
      </c>
      <c r="CL91" s="18">
        <f>BE91/$BE$88</f>
        <v/>
      </c>
      <c r="CM91" s="18">
        <f>BF91/$BF$88</f>
        <v/>
      </c>
      <c r="CN91" s="18">
        <f>BG91/$BG$88</f>
        <v/>
      </c>
      <c r="CO91" s="18">
        <f>BH91/$BH$88</f>
        <v/>
      </c>
      <c r="CP91" s="18">
        <f>BI91/$BI$88</f>
        <v/>
      </c>
      <c r="CQ91" s="18">
        <f>BJ91/$BJ$88</f>
        <v/>
      </c>
      <c r="CR91" s="18">
        <f>BK91/$BK$88</f>
        <v/>
      </c>
      <c r="CS91" s="18">
        <f>BL91/$BL$88</f>
        <v/>
      </c>
      <c r="CT91" s="18">
        <f>BM91/$BM$88</f>
        <v/>
      </c>
    </row>
    <row r="92" ht="15.75" customHeight="1">
      <c r="A92" s="13" t="inlineStr">
        <is>
          <t>BTPGN</t>
        </is>
      </c>
      <c r="B92" s="18">
        <f>'1'!P24</f>
        <v/>
      </c>
      <c r="C92" s="18">
        <f>'2'!P24</f>
        <v/>
      </c>
      <c r="D92" s="18">
        <f>'3'!P24</f>
        <v/>
      </c>
      <c r="E92" s="18">
        <f>'4'!P24</f>
        <v/>
      </c>
      <c r="F92" s="18">
        <f>'5'!P24</f>
        <v/>
      </c>
      <c r="G92" s="18">
        <f>'6'!P24</f>
        <v/>
      </c>
      <c r="H92" s="18">
        <f>'7'!P24</f>
        <v/>
      </c>
      <c r="I92" s="18">
        <f>'8'!P24</f>
        <v/>
      </c>
      <c r="J92" s="18">
        <f>'9'!P24</f>
        <v/>
      </c>
      <c r="K92" s="18">
        <f>'10'!P24</f>
        <v/>
      </c>
      <c r="L92" s="18">
        <f>'11'!P24</f>
        <v/>
      </c>
      <c r="M92" s="18">
        <f>'12'!P24</f>
        <v/>
      </c>
      <c r="N92" s="18">
        <f>'13'!P24</f>
        <v/>
      </c>
      <c r="O92" s="18">
        <f>'14'!P24</f>
        <v/>
      </c>
      <c r="P92" s="18">
        <f>'15'!P24</f>
        <v/>
      </c>
      <c r="Q92" s="18">
        <f>'16'!P24</f>
        <v/>
      </c>
      <c r="R92" s="18">
        <f>'17'!P24</f>
        <v/>
      </c>
      <c r="S92" s="18">
        <f>'18'!P24</f>
        <v/>
      </c>
      <c r="T92" s="18">
        <f>'19'!P24</f>
        <v/>
      </c>
      <c r="U92" s="18">
        <f>'20'!P24</f>
        <v/>
      </c>
      <c r="V92" s="18">
        <f>'21'!P24</f>
        <v/>
      </c>
      <c r="W92" s="18">
        <f>'22'!P24</f>
        <v/>
      </c>
      <c r="X92" s="18">
        <f>'23'!P24</f>
        <v/>
      </c>
      <c r="Y92" s="18">
        <f>'24'!P24</f>
        <v/>
      </c>
      <c r="Z92" s="18">
        <f>'25'!P24</f>
        <v/>
      </c>
      <c r="AA92" s="18">
        <f>'26'!P24</f>
        <v/>
      </c>
      <c r="AB92" s="18">
        <f>'27'!P24</f>
        <v/>
      </c>
      <c r="AC92" s="18">
        <f>'28'!P24</f>
        <v/>
      </c>
      <c r="AD92" s="18">
        <f>'29'!P24</f>
        <v/>
      </c>
      <c r="AE92" s="18" t="n"/>
      <c r="AF92" s="22" t="n"/>
      <c r="AH92" s="13" t="inlineStr">
        <is>
          <t>BTPGN</t>
        </is>
      </c>
      <c r="AI92" s="18">
        <f>B92</f>
        <v/>
      </c>
      <c r="AJ92" s="18">
        <f>AI92+C92</f>
        <v/>
      </c>
      <c r="AK92" s="18">
        <f>AJ92+D92</f>
        <v/>
      </c>
      <c r="AL92" s="18">
        <f>AK92+E92</f>
        <v/>
      </c>
      <c r="AM92" s="18">
        <f>AL92+F92</f>
        <v/>
      </c>
      <c r="AN92" s="18">
        <f>AM92+G92</f>
        <v/>
      </c>
      <c r="AO92" s="18">
        <f>AN92+H92</f>
        <v/>
      </c>
      <c r="AP92" s="18">
        <f>AO92+I92</f>
        <v/>
      </c>
      <c r="AQ92" s="18">
        <f>AP92+J92</f>
        <v/>
      </c>
      <c r="AR92" s="18">
        <f>AQ92+K92</f>
        <v/>
      </c>
      <c r="AS92" s="18">
        <f>AR92+L92</f>
        <v/>
      </c>
      <c r="AT92" s="18">
        <f>AS92+M92</f>
        <v/>
      </c>
      <c r="AU92" s="18">
        <f>AT92+N92</f>
        <v/>
      </c>
      <c r="AV92" s="18">
        <f>AU92+O92</f>
        <v/>
      </c>
      <c r="AW92" s="18">
        <f>AV92+P92</f>
        <v/>
      </c>
      <c r="AX92" s="18">
        <f>AW92+Q92</f>
        <v/>
      </c>
      <c r="AY92" s="18">
        <f>AX92+R92</f>
        <v/>
      </c>
      <c r="AZ92" s="18">
        <f>AY92+S92</f>
        <v/>
      </c>
      <c r="BA92" s="18">
        <f>AZ92+T92</f>
        <v/>
      </c>
      <c r="BB92" s="18">
        <f>BA92+U92</f>
        <v/>
      </c>
      <c r="BC92" s="18">
        <f>BB92+V92</f>
        <v/>
      </c>
      <c r="BD92" s="18">
        <f>BC92+W92</f>
        <v/>
      </c>
      <c r="BE92" s="18">
        <f>BD92+X92</f>
        <v/>
      </c>
      <c r="BF92" s="18">
        <f>BE92+Y92</f>
        <v/>
      </c>
      <c r="BG92" s="18">
        <f>BF92+Z92</f>
        <v/>
      </c>
      <c r="BH92" s="18">
        <f>BG92+AA92</f>
        <v/>
      </c>
      <c r="BI92" s="18">
        <f>BH92+AB92</f>
        <v/>
      </c>
      <c r="BJ92" s="18">
        <f>BI92+AC92</f>
        <v/>
      </c>
      <c r="BK92" s="18">
        <f>BJ92+AD92</f>
        <v/>
      </c>
      <c r="BL92" s="18">
        <f>BK92+AE92</f>
        <v/>
      </c>
      <c r="BM92" s="18">
        <f>BL92+AF92</f>
        <v/>
      </c>
      <c r="BO92" s="13" t="inlineStr">
        <is>
          <t>BTPGN</t>
        </is>
      </c>
      <c r="BP92" s="18">
        <f>AI92/$AI$88</f>
        <v/>
      </c>
      <c r="BQ92" s="18">
        <f>AJ92/$AJ$88</f>
        <v/>
      </c>
      <c r="BR92" s="18">
        <f>AK92/$AK$88</f>
        <v/>
      </c>
      <c r="BS92" s="18">
        <f>AL92/$AL$88</f>
        <v/>
      </c>
      <c r="BT92" s="18">
        <f>AM92/$AM$88</f>
        <v/>
      </c>
      <c r="BU92" s="18">
        <f>AN92/$AN$88</f>
        <v/>
      </c>
      <c r="BV92" s="18">
        <f>AO92/$AO$88</f>
        <v/>
      </c>
      <c r="BW92" s="18">
        <f>AP92/$AP$88</f>
        <v/>
      </c>
      <c r="BX92" s="18">
        <f>AQ92/$AQ$88</f>
        <v/>
      </c>
      <c r="BY92" s="18">
        <f>AR92/$AR$88</f>
        <v/>
      </c>
      <c r="BZ92" s="18">
        <f>AS92/$AS$88</f>
        <v/>
      </c>
      <c r="CA92" s="18">
        <f>AT92/$AT$88</f>
        <v/>
      </c>
      <c r="CB92" s="18">
        <f>AU92/$AU$88</f>
        <v/>
      </c>
      <c r="CC92" s="18">
        <f>AV92/$AV$88</f>
        <v/>
      </c>
      <c r="CD92" s="18">
        <f>AW92/$AW$88</f>
        <v/>
      </c>
      <c r="CE92" s="18">
        <f>AX92/$AX$88</f>
        <v/>
      </c>
      <c r="CF92" s="18">
        <f>AY92/$AY$88</f>
        <v/>
      </c>
      <c r="CG92" s="18">
        <f>AZ92/$AZ$88</f>
        <v/>
      </c>
      <c r="CH92" s="18">
        <f>BA92/$BA$88</f>
        <v/>
      </c>
      <c r="CI92" s="18">
        <f>BB92/$BB$88</f>
        <v/>
      </c>
      <c r="CJ92" s="18">
        <f>BC92/$BC$88</f>
        <v/>
      </c>
      <c r="CK92" s="18">
        <f>BD92/$BD$88</f>
        <v/>
      </c>
      <c r="CL92" s="18">
        <f>BE92/$BE$88</f>
        <v/>
      </c>
      <c r="CM92" s="18">
        <f>BF92/$BF$88</f>
        <v/>
      </c>
      <c r="CN92" s="18">
        <f>BG92/$BG$88</f>
        <v/>
      </c>
      <c r="CO92" s="18">
        <f>BH92/$BH$88</f>
        <v/>
      </c>
      <c r="CP92" s="18">
        <f>BI92/$BI$88</f>
        <v/>
      </c>
      <c r="CQ92" s="18">
        <f>BJ92/$BJ$88</f>
        <v/>
      </c>
      <c r="CR92" s="18">
        <f>BK92/$BK$88</f>
        <v/>
      </c>
      <c r="CS92" s="18">
        <f>BL92/$BL$88</f>
        <v/>
      </c>
      <c r="CT92" s="18">
        <f>BM92/$BM$88</f>
        <v/>
      </c>
    </row>
    <row r="93" ht="15.75" customHeight="1">
      <c r="A93" s="13" t="inlineStr">
        <is>
          <t>CONT</t>
        </is>
      </c>
      <c r="B93" s="18">
        <f>'1'!P25</f>
        <v/>
      </c>
      <c r="C93" s="18">
        <f>'2'!P25</f>
        <v/>
      </c>
      <c r="D93" s="18">
        <f>'3'!P25</f>
        <v/>
      </c>
      <c r="E93" s="18">
        <f>'4'!P25</f>
        <v/>
      </c>
      <c r="F93" s="18">
        <f>'5'!P25</f>
        <v/>
      </c>
      <c r="G93" s="18">
        <f>'6'!P25</f>
        <v/>
      </c>
      <c r="H93" s="18">
        <f>'7'!P25</f>
        <v/>
      </c>
      <c r="I93" s="18">
        <f>'8'!P25</f>
        <v/>
      </c>
      <c r="J93" s="18">
        <f>'9'!P25</f>
        <v/>
      </c>
      <c r="K93" s="18">
        <f>'10'!P25</f>
        <v/>
      </c>
      <c r="L93" s="18">
        <f>'11'!P25</f>
        <v/>
      </c>
      <c r="M93" s="18">
        <f>'12'!P25</f>
        <v/>
      </c>
      <c r="N93" s="18">
        <f>'13'!P25</f>
        <v/>
      </c>
      <c r="O93" s="18">
        <f>'14'!P25</f>
        <v/>
      </c>
      <c r="P93" s="18">
        <f>'15'!P25</f>
        <v/>
      </c>
      <c r="Q93" s="18">
        <f>'16'!P25</f>
        <v/>
      </c>
      <c r="R93" s="18">
        <f>'17'!P25</f>
        <v/>
      </c>
      <c r="S93" s="18">
        <f>'18'!P25</f>
        <v/>
      </c>
      <c r="T93" s="18">
        <f>'19'!P25</f>
        <v/>
      </c>
      <c r="U93" s="18">
        <f>'20'!P25</f>
        <v/>
      </c>
      <c r="V93" s="18">
        <f>'21'!P25</f>
        <v/>
      </c>
      <c r="W93" s="18">
        <f>'22'!P25</f>
        <v/>
      </c>
      <c r="X93" s="18">
        <f>'23'!P25</f>
        <v/>
      </c>
      <c r="Y93" s="18">
        <f>'24'!P25</f>
        <v/>
      </c>
      <c r="Z93" s="18">
        <f>'25'!P25</f>
        <v/>
      </c>
      <c r="AA93" s="18">
        <f>'26'!P25</f>
        <v/>
      </c>
      <c r="AB93" s="18">
        <f>'27'!P25</f>
        <v/>
      </c>
      <c r="AC93" s="18">
        <f>'28'!P25</f>
        <v/>
      </c>
      <c r="AD93" s="18">
        <f>'29'!P25</f>
        <v/>
      </c>
      <c r="AE93" s="18" t="n"/>
      <c r="AF93" s="22" t="n"/>
      <c r="AH93" s="13" t="inlineStr">
        <is>
          <t>CONT</t>
        </is>
      </c>
      <c r="AI93" s="18">
        <f>B93</f>
        <v/>
      </c>
      <c r="AJ93" s="18">
        <f>AI93+C93</f>
        <v/>
      </c>
      <c r="AK93" s="18">
        <f>AJ93+D93</f>
        <v/>
      </c>
      <c r="AL93" s="18">
        <f>AK93+E93</f>
        <v/>
      </c>
      <c r="AM93" s="18">
        <f>AL93+F93</f>
        <v/>
      </c>
      <c r="AN93" s="18">
        <f>AM93+G93</f>
        <v/>
      </c>
      <c r="AO93" s="18">
        <f>AN93+H93</f>
        <v/>
      </c>
      <c r="AP93" s="18">
        <f>AO93+I93</f>
        <v/>
      </c>
      <c r="AQ93" s="18">
        <f>AP93+J93</f>
        <v/>
      </c>
      <c r="AR93" s="18">
        <f>AQ93+K93</f>
        <v/>
      </c>
      <c r="AS93" s="18">
        <f>AR93+L93</f>
        <v/>
      </c>
      <c r="AT93" s="18">
        <f>AS93+M93</f>
        <v/>
      </c>
      <c r="AU93" s="18">
        <f>AT93+N93</f>
        <v/>
      </c>
      <c r="AV93" s="18">
        <f>AU93+O93</f>
        <v/>
      </c>
      <c r="AW93" s="18">
        <f>AV93+P93</f>
        <v/>
      </c>
      <c r="AX93" s="18">
        <f>AW93+Q93</f>
        <v/>
      </c>
      <c r="AY93" s="18">
        <f>AX93+R93</f>
        <v/>
      </c>
      <c r="AZ93" s="18">
        <f>AY93+S93</f>
        <v/>
      </c>
      <c r="BA93" s="18">
        <f>AZ93+T93</f>
        <v/>
      </c>
      <c r="BB93" s="18">
        <f>BA93+U93</f>
        <v/>
      </c>
      <c r="BC93" s="18">
        <f>BB93+V93</f>
        <v/>
      </c>
      <c r="BD93" s="18">
        <f>BC93+W93</f>
        <v/>
      </c>
      <c r="BE93" s="18">
        <f>BD93+X93</f>
        <v/>
      </c>
      <c r="BF93" s="18">
        <f>BE93+Y93</f>
        <v/>
      </c>
      <c r="BG93" s="18">
        <f>BF93+Z93</f>
        <v/>
      </c>
      <c r="BH93" s="18">
        <f>BG93+AA93</f>
        <v/>
      </c>
      <c r="BI93" s="18">
        <f>BH93+AB93</f>
        <v/>
      </c>
      <c r="BJ93" s="18">
        <f>BI93+AC93</f>
        <v/>
      </c>
      <c r="BK93" s="18">
        <f>BJ93+AD93</f>
        <v/>
      </c>
      <c r="BL93" s="18">
        <f>BK93+AE93</f>
        <v/>
      </c>
      <c r="BM93" s="18">
        <f>BL93+AF93</f>
        <v/>
      </c>
      <c r="BO93" s="13" t="inlineStr">
        <is>
          <t>CONT</t>
        </is>
      </c>
      <c r="BP93" s="18">
        <f>AI93/$AI$88</f>
        <v/>
      </c>
      <c r="BQ93" s="18">
        <f>AJ93/$AJ$88</f>
        <v/>
      </c>
      <c r="BR93" s="18">
        <f>AK93/$AK$88</f>
        <v/>
      </c>
      <c r="BS93" s="18">
        <f>AL93/$AL$88</f>
        <v/>
      </c>
      <c r="BT93" s="18">
        <f>AM93/$AM$88</f>
        <v/>
      </c>
      <c r="BU93" s="18">
        <f>AN93/$AN$88</f>
        <v/>
      </c>
      <c r="BV93" s="18">
        <f>AO93/$AO$88</f>
        <v/>
      </c>
      <c r="BW93" s="18">
        <f>AP93/$AP$88</f>
        <v/>
      </c>
      <c r="BX93" s="18">
        <f>AQ93/$AQ$88</f>
        <v/>
      </c>
      <c r="BY93" s="18">
        <f>AR93/$AR$88</f>
        <v/>
      </c>
      <c r="BZ93" s="18">
        <f>AS93/$AS$88</f>
        <v/>
      </c>
      <c r="CA93" s="18">
        <f>AT93/$AT$88</f>
        <v/>
      </c>
      <c r="CB93" s="18">
        <f>AU93/$AU$88</f>
        <v/>
      </c>
      <c r="CC93" s="18">
        <f>AV93/$AV$88</f>
        <v/>
      </c>
      <c r="CD93" s="18">
        <f>AW93/$AW$88</f>
        <v/>
      </c>
      <c r="CE93" s="18">
        <f>AX93/$AX$88</f>
        <v/>
      </c>
      <c r="CF93" s="18">
        <f>AY93/$AY$88</f>
        <v/>
      </c>
      <c r="CG93" s="18">
        <f>AZ93/$AZ$88</f>
        <v/>
      </c>
      <c r="CH93" s="18">
        <f>BA93/$BA$88</f>
        <v/>
      </c>
      <c r="CI93" s="18">
        <f>BB93/$BB$88</f>
        <v/>
      </c>
      <c r="CJ93" s="18">
        <f>BC93/$BC$88</f>
        <v/>
      </c>
      <c r="CK93" s="18">
        <f>BD93/$BD$88</f>
        <v/>
      </c>
      <c r="CL93" s="18">
        <f>BE93/$BE$88</f>
        <v/>
      </c>
      <c r="CM93" s="18">
        <f>BF93/$BF$88</f>
        <v/>
      </c>
      <c r="CN93" s="18">
        <f>BG93/$BG$88</f>
        <v/>
      </c>
      <c r="CO93" s="18">
        <f>BH93/$BH$88</f>
        <v/>
      </c>
      <c r="CP93" s="18">
        <f>BI93/$BI$88</f>
        <v/>
      </c>
      <c r="CQ93" s="18">
        <f>BJ93/$BJ$88</f>
        <v/>
      </c>
      <c r="CR93" s="18">
        <f>BK93/$BK$88</f>
        <v/>
      </c>
      <c r="CS93" s="18">
        <f>BL93/$BL$88</f>
        <v/>
      </c>
      <c r="CT93" s="18">
        <f>BM93/$BM$88</f>
        <v/>
      </c>
    </row>
    <row r="94" ht="15.75" customHeight="1">
      <c r="A94" s="13" t="inlineStr">
        <is>
          <t>SHRA</t>
        </is>
      </c>
      <c r="B94" s="18">
        <f>'1'!P26</f>
        <v/>
      </c>
      <c r="C94" s="18">
        <f>'2'!P26</f>
        <v/>
      </c>
      <c r="D94" s="18">
        <f>'3'!P26</f>
        <v/>
      </c>
      <c r="E94" s="18">
        <f>'4'!P26</f>
        <v/>
      </c>
      <c r="F94" s="18">
        <f>'5'!P26</f>
        <v/>
      </c>
      <c r="G94" s="18">
        <f>'6'!P26</f>
        <v/>
      </c>
      <c r="H94" s="18">
        <f>'7'!P26</f>
        <v/>
      </c>
      <c r="I94" s="18">
        <f>'8'!P26</f>
        <v/>
      </c>
      <c r="J94" s="18">
        <f>'9'!P26</f>
        <v/>
      </c>
      <c r="K94" s="18">
        <f>'10'!P26</f>
        <v/>
      </c>
      <c r="L94" s="18">
        <f>'11'!P26</f>
        <v/>
      </c>
      <c r="M94" s="18">
        <f>'12'!P26</f>
        <v/>
      </c>
      <c r="N94" s="18">
        <f>'13'!P26</f>
        <v/>
      </c>
      <c r="O94" s="18">
        <f>'14'!P26</f>
        <v/>
      </c>
      <c r="P94" s="18">
        <f>'15'!P26</f>
        <v/>
      </c>
      <c r="Q94" s="18">
        <f>'16'!P26</f>
        <v/>
      </c>
      <c r="R94" s="18">
        <f>'17'!P26</f>
        <v/>
      </c>
      <c r="S94" s="18">
        <f>'18'!P26</f>
        <v/>
      </c>
      <c r="T94" s="18">
        <f>'19'!P26</f>
        <v/>
      </c>
      <c r="U94" s="18">
        <f>'20'!P26</f>
        <v/>
      </c>
      <c r="V94" s="18">
        <f>'21'!P26</f>
        <v/>
      </c>
      <c r="W94" s="18">
        <f>'22'!P26</f>
        <v/>
      </c>
      <c r="X94" s="18">
        <f>'23'!P26</f>
        <v/>
      </c>
      <c r="Y94" s="18">
        <f>'24'!P26</f>
        <v/>
      </c>
      <c r="Z94" s="18">
        <f>'25'!P26</f>
        <v/>
      </c>
      <c r="AA94" s="18">
        <f>'26'!P26</f>
        <v/>
      </c>
      <c r="AB94" s="18">
        <f>'27'!P26</f>
        <v/>
      </c>
      <c r="AC94" s="18">
        <f>'28'!P26</f>
        <v/>
      </c>
      <c r="AD94" s="18">
        <f>'29'!P26</f>
        <v/>
      </c>
      <c r="AE94" s="18" t="n"/>
      <c r="AF94" s="22" t="n"/>
      <c r="AH94" s="13" t="inlineStr">
        <is>
          <t>SHRA</t>
        </is>
      </c>
      <c r="AI94" s="18">
        <f>B94</f>
        <v/>
      </c>
      <c r="AJ94" s="18">
        <f>AI94+C94</f>
        <v/>
      </c>
      <c r="AK94" s="18">
        <f>AJ94+D94</f>
        <v/>
      </c>
      <c r="AL94" s="18">
        <f>AK94+E94</f>
        <v/>
      </c>
      <c r="AM94" s="18">
        <f>AL94+F94</f>
        <v/>
      </c>
      <c r="AN94" s="18">
        <f>AM94+G94</f>
        <v/>
      </c>
      <c r="AO94" s="18">
        <f>AN94+H94</f>
        <v/>
      </c>
      <c r="AP94" s="18">
        <f>AO94+I94</f>
        <v/>
      </c>
      <c r="AQ94" s="18">
        <f>AP94+J94</f>
        <v/>
      </c>
      <c r="AR94" s="18">
        <f>AQ94+K94</f>
        <v/>
      </c>
      <c r="AS94" s="18">
        <f>AR94+L94</f>
        <v/>
      </c>
      <c r="AT94" s="18">
        <f>AS94+M94</f>
        <v/>
      </c>
      <c r="AU94" s="18">
        <f>AT94+N94</f>
        <v/>
      </c>
      <c r="AV94" s="18">
        <f>AU94+O94</f>
        <v/>
      </c>
      <c r="AW94" s="18">
        <f>AV94+P94</f>
        <v/>
      </c>
      <c r="AX94" s="18">
        <f>AW94+Q94</f>
        <v/>
      </c>
      <c r="AY94" s="18">
        <f>AX94+R94</f>
        <v/>
      </c>
      <c r="AZ94" s="18">
        <f>AY94+S94</f>
        <v/>
      </c>
      <c r="BA94" s="18">
        <f>AZ94+T94</f>
        <v/>
      </c>
      <c r="BB94" s="18">
        <f>BA94+U94</f>
        <v/>
      </c>
      <c r="BC94" s="18">
        <f>BB94+V94</f>
        <v/>
      </c>
      <c r="BD94" s="18">
        <f>BC94+W94</f>
        <v/>
      </c>
      <c r="BE94" s="18">
        <f>BD94+X94</f>
        <v/>
      </c>
      <c r="BF94" s="18">
        <f>BE94+Y94</f>
        <v/>
      </c>
      <c r="BG94" s="18">
        <f>BF94+Z94</f>
        <v/>
      </c>
      <c r="BH94" s="18">
        <f>BG94+AA94</f>
        <v/>
      </c>
      <c r="BI94" s="18">
        <f>BH94+AB94</f>
        <v/>
      </c>
      <c r="BJ94" s="18">
        <f>BI94+AC94</f>
        <v/>
      </c>
      <c r="BK94" s="18">
        <f>BJ94+AD94</f>
        <v/>
      </c>
      <c r="BL94" s="18">
        <f>BK94+AE94</f>
        <v/>
      </c>
      <c r="BM94" s="18">
        <f>BL94+AF94</f>
        <v/>
      </c>
      <c r="BO94" s="13" t="inlineStr">
        <is>
          <t>SHRA</t>
        </is>
      </c>
      <c r="BP94" s="18">
        <f>AI94/$AI$88</f>
        <v/>
      </c>
      <c r="BQ94" s="18">
        <f>AJ94/$AJ$88</f>
        <v/>
      </c>
      <c r="BR94" s="18">
        <f>AK94/$AK$88</f>
        <v/>
      </c>
      <c r="BS94" s="18">
        <f>AL94/$AL$88</f>
        <v/>
      </c>
      <c r="BT94" s="18">
        <f>AM94/$AM$88</f>
        <v/>
      </c>
      <c r="BU94" s="18">
        <f>AN94/$AN$88</f>
        <v/>
      </c>
      <c r="BV94" s="18">
        <f>AO94/$AO$88</f>
        <v/>
      </c>
      <c r="BW94" s="18">
        <f>AP94/$AP$88</f>
        <v/>
      </c>
      <c r="BX94" s="18">
        <f>AQ94/$AQ$88</f>
        <v/>
      </c>
      <c r="BY94" s="18">
        <f>AR94/$AR$88</f>
        <v/>
      </c>
      <c r="BZ94" s="18">
        <f>AS94/$AS$88</f>
        <v/>
      </c>
      <c r="CA94" s="18">
        <f>AT94/$AT$88</f>
        <v/>
      </c>
      <c r="CB94" s="18">
        <f>AU94/$AU$88</f>
        <v/>
      </c>
      <c r="CC94" s="18">
        <f>AV94/$AV$88</f>
        <v/>
      </c>
      <c r="CD94" s="18">
        <f>AW94/$AW$88</f>
        <v/>
      </c>
      <c r="CE94" s="18">
        <f>AX94/$AX$88</f>
        <v/>
      </c>
      <c r="CF94" s="18">
        <f>AY94/$AY$88</f>
        <v/>
      </c>
      <c r="CG94" s="18">
        <f>AZ94/$AZ$88</f>
        <v/>
      </c>
      <c r="CH94" s="18">
        <f>BA94/$BA$88</f>
        <v/>
      </c>
      <c r="CI94" s="18">
        <f>BB94/$BB$88</f>
        <v/>
      </c>
      <c r="CJ94" s="18">
        <f>BC94/$BC$88</f>
        <v/>
      </c>
      <c r="CK94" s="18">
        <f>BD94/$BD$88</f>
        <v/>
      </c>
      <c r="CL94" s="18">
        <f>BE94/$BE$88</f>
        <v/>
      </c>
      <c r="CM94" s="18">
        <f>BF94/$BF$88</f>
        <v/>
      </c>
      <c r="CN94" s="18">
        <f>BG94/$BG$88</f>
        <v/>
      </c>
      <c r="CO94" s="18">
        <f>BH94/$BH$88</f>
        <v/>
      </c>
      <c r="CP94" s="18">
        <f>BI94/$BI$88</f>
        <v/>
      </c>
      <c r="CQ94" s="18">
        <f>BJ94/$BJ$88</f>
        <v/>
      </c>
      <c r="CR94" s="18">
        <f>BK94/$BK$88</f>
        <v/>
      </c>
      <c r="CS94" s="18">
        <f>BL94/$BL$88</f>
        <v/>
      </c>
      <c r="CT94" s="18">
        <f>BM94/$BM$88</f>
        <v/>
      </c>
    </row>
    <row r="95" ht="15.75" customHeight="1">
      <c r="A95" s="13" t="inlineStr">
        <is>
          <t>OTHERS</t>
        </is>
      </c>
      <c r="B95" s="18">
        <f>'1'!P27</f>
        <v/>
      </c>
      <c r="C95" s="18">
        <f>'2'!P27</f>
        <v/>
      </c>
      <c r="D95" s="18">
        <f>'3'!P27</f>
        <v/>
      </c>
      <c r="E95" s="18">
        <f>'4'!P27</f>
        <v/>
      </c>
      <c r="F95" s="18">
        <f>'5'!P27</f>
        <v/>
      </c>
      <c r="G95" s="18">
        <f>'6'!P27</f>
        <v/>
      </c>
      <c r="H95" s="18">
        <f>'7'!P27</f>
        <v/>
      </c>
      <c r="I95" s="18">
        <f>'8'!P27</f>
        <v/>
      </c>
      <c r="J95" s="18">
        <f>'9'!P27</f>
        <v/>
      </c>
      <c r="K95" s="18">
        <f>'10'!P27</f>
        <v/>
      </c>
      <c r="L95" s="18">
        <f>'11'!P27</f>
        <v/>
      </c>
      <c r="M95" s="18">
        <f>'12'!P27</f>
        <v/>
      </c>
      <c r="N95" s="18">
        <f>'13'!P27</f>
        <v/>
      </c>
      <c r="O95" s="18">
        <f>'14'!P27</f>
        <v/>
      </c>
      <c r="P95" s="18">
        <f>'15'!P27</f>
        <v/>
      </c>
      <c r="Q95" s="18">
        <f>'16'!P27</f>
        <v/>
      </c>
      <c r="R95" s="18">
        <f>'17'!P27</f>
        <v/>
      </c>
      <c r="S95" s="18">
        <f>'18'!P27</f>
        <v/>
      </c>
      <c r="T95" s="18">
        <f>'19'!P27</f>
        <v/>
      </c>
      <c r="U95" s="18">
        <f>'20'!P27</f>
        <v/>
      </c>
      <c r="V95" s="18">
        <f>'21'!P27</f>
        <v/>
      </c>
      <c r="W95" s="18">
        <f>'22'!P27</f>
        <v/>
      </c>
      <c r="X95" s="18">
        <f>'23'!P27</f>
        <v/>
      </c>
      <c r="Y95" s="18">
        <f>'24'!P27</f>
        <v/>
      </c>
      <c r="Z95" s="18">
        <f>'25'!P27</f>
        <v/>
      </c>
      <c r="AA95" s="18">
        <f>'26'!P27</f>
        <v/>
      </c>
      <c r="AB95" s="18">
        <f>'27'!P27</f>
        <v/>
      </c>
      <c r="AC95" s="18">
        <f>'28'!P27</f>
        <v/>
      </c>
      <c r="AD95" s="18">
        <f>'29'!P27</f>
        <v/>
      </c>
      <c r="AE95" s="18" t="n"/>
      <c r="AF95" s="22" t="n"/>
      <c r="AH95" s="13" t="inlineStr">
        <is>
          <t>OTHERS</t>
        </is>
      </c>
      <c r="AI95" s="18">
        <f>B95</f>
        <v/>
      </c>
      <c r="AJ95" s="18">
        <f>AI95+C95</f>
        <v/>
      </c>
      <c r="AK95" s="18">
        <f>AJ95+D95</f>
        <v/>
      </c>
      <c r="AL95" s="18">
        <f>AK95+E95</f>
        <v/>
      </c>
      <c r="AM95" s="18">
        <f>AL95+F95</f>
        <v/>
      </c>
      <c r="AN95" s="18">
        <f>AM95+G95</f>
        <v/>
      </c>
      <c r="AO95" s="18">
        <f>AN95+H95</f>
        <v/>
      </c>
      <c r="AP95" s="18">
        <f>AO95+I95</f>
        <v/>
      </c>
      <c r="AQ95" s="18">
        <f>AP95+J95</f>
        <v/>
      </c>
      <c r="AR95" s="18">
        <f>AQ95+K95</f>
        <v/>
      </c>
      <c r="AS95" s="18">
        <f>AR95+L95</f>
        <v/>
      </c>
      <c r="AT95" s="18">
        <f>AS95+M95</f>
        <v/>
      </c>
      <c r="AU95" s="18">
        <f>AT95+N95</f>
        <v/>
      </c>
      <c r="AV95" s="18">
        <f>AU95+O95</f>
        <v/>
      </c>
      <c r="AW95" s="18">
        <f>AV95+P95</f>
        <v/>
      </c>
      <c r="AX95" s="18">
        <f>AW95+Q95</f>
        <v/>
      </c>
      <c r="AY95" s="18">
        <f>AX95+R95</f>
        <v/>
      </c>
      <c r="AZ95" s="18">
        <f>AY95+S95</f>
        <v/>
      </c>
      <c r="BA95" s="18">
        <f>AZ95+T95</f>
        <v/>
      </c>
      <c r="BB95" s="18">
        <f>BA95+U95</f>
        <v/>
      </c>
      <c r="BC95" s="18">
        <f>BB95+V95</f>
        <v/>
      </c>
      <c r="BD95" s="18">
        <f>BC95+W95</f>
        <v/>
      </c>
      <c r="BE95" s="18">
        <f>BD95+X95</f>
        <v/>
      </c>
      <c r="BF95" s="18">
        <f>BE95+Y95</f>
        <v/>
      </c>
      <c r="BG95" s="18">
        <f>BF95+Z95</f>
        <v/>
      </c>
      <c r="BH95" s="18">
        <f>BG95+AA95</f>
        <v/>
      </c>
      <c r="BI95" s="18">
        <f>BH95+AB95</f>
        <v/>
      </c>
      <c r="BJ95" s="18">
        <f>BI95+AC95</f>
        <v/>
      </c>
      <c r="BK95" s="18">
        <f>BJ95+AD95</f>
        <v/>
      </c>
      <c r="BL95" s="18">
        <f>BK95+AE95</f>
        <v/>
      </c>
      <c r="BM95" s="18">
        <f>BL95+AF95</f>
        <v/>
      </c>
      <c r="BO95" s="13" t="inlineStr">
        <is>
          <t>OTHERS</t>
        </is>
      </c>
      <c r="BP95" s="18">
        <f>AI95/$AI$88</f>
        <v/>
      </c>
      <c r="BQ95" s="18">
        <f>AJ95/$AJ$88</f>
        <v/>
      </c>
      <c r="BR95" s="18">
        <f>AK95/$AK$88</f>
        <v/>
      </c>
      <c r="BS95" s="18">
        <f>AL95/$AL$88</f>
        <v/>
      </c>
      <c r="BT95" s="18">
        <f>AM95/$AM$88</f>
        <v/>
      </c>
      <c r="BU95" s="18">
        <f>AN95/$AN$88</f>
        <v/>
      </c>
      <c r="BV95" s="18">
        <f>AO95/$AO$88</f>
        <v/>
      </c>
      <c r="BW95" s="18">
        <f>AP95/$AP$88</f>
        <v/>
      </c>
      <c r="BX95" s="18">
        <f>AQ95/$AQ$88</f>
        <v/>
      </c>
      <c r="BY95" s="18">
        <f>AR95/$AR$88</f>
        <v/>
      </c>
      <c r="BZ95" s="18">
        <f>AS95/$AS$88</f>
        <v/>
      </c>
      <c r="CA95" s="18">
        <f>AT95/$AT$88</f>
        <v/>
      </c>
      <c r="CB95" s="18">
        <f>AU95/$AU$88</f>
        <v/>
      </c>
      <c r="CC95" s="18">
        <f>AV95/$AV$88</f>
        <v/>
      </c>
      <c r="CD95" s="18">
        <f>AW95/$AW$88</f>
        <v/>
      </c>
      <c r="CE95" s="18">
        <f>AX95/$AX$88</f>
        <v/>
      </c>
      <c r="CF95" s="18">
        <f>AY95/$AY$88</f>
        <v/>
      </c>
      <c r="CG95" s="18">
        <f>AZ95/$AZ$88</f>
        <v/>
      </c>
      <c r="CH95" s="18">
        <f>BA95/$BA$88</f>
        <v/>
      </c>
      <c r="CI95" s="18">
        <f>BB95/$BB$88</f>
        <v/>
      </c>
      <c r="CJ95" s="18">
        <f>BC95/$BC$88</f>
        <v/>
      </c>
      <c r="CK95" s="18">
        <f>BD95/$BD$88</f>
        <v/>
      </c>
      <c r="CL95" s="18">
        <f>BE95/$BE$88</f>
        <v/>
      </c>
      <c r="CM95" s="18">
        <f>BF95/$BF$88</f>
        <v/>
      </c>
      <c r="CN95" s="18">
        <f>BG95/$BG$88</f>
        <v/>
      </c>
      <c r="CO95" s="18">
        <f>BH95/$BH$88</f>
        <v/>
      </c>
      <c r="CP95" s="18">
        <f>BI95/$BI$88</f>
        <v/>
      </c>
      <c r="CQ95" s="18">
        <f>BJ95/$BJ$88</f>
        <v/>
      </c>
      <c r="CR95" s="18">
        <f>BK95/$BK$88</f>
        <v/>
      </c>
      <c r="CS95" s="18">
        <f>BL95/$BL$88</f>
        <v/>
      </c>
      <c r="CT95" s="18">
        <f>BM95/$BM$88</f>
        <v/>
      </c>
    </row>
    <row r="96" ht="32.25" customHeight="1" thickBot="1">
      <c r="A96" s="34" t="inlineStr">
        <is>
          <t>TOTAL RAKES</t>
        </is>
      </c>
      <c r="B96" s="35">
        <f>SUM(B89:B95)</f>
        <v/>
      </c>
      <c r="C96" s="35">
        <f>SUM(C89:C95)</f>
        <v/>
      </c>
      <c r="D96" s="35">
        <f>SUM(D89:D95)</f>
        <v/>
      </c>
      <c r="E96" s="35">
        <f>SUM(E89:E95)</f>
        <v/>
      </c>
      <c r="F96" s="35">
        <f>SUM(F89:F95)</f>
        <v/>
      </c>
      <c r="G96" s="35">
        <f>SUM(G89:G95)</f>
        <v/>
      </c>
      <c r="H96" s="35">
        <f>SUM(H89:H95)</f>
        <v/>
      </c>
      <c r="I96" s="35">
        <f>SUM(I89:I95)</f>
        <v/>
      </c>
      <c r="J96" s="35">
        <f>SUM(J89:J95)</f>
        <v/>
      </c>
      <c r="K96" s="35">
        <f>SUM(K89:K95)</f>
        <v/>
      </c>
      <c r="L96" s="35">
        <f>SUM(L89:L95)</f>
        <v/>
      </c>
      <c r="M96" s="35">
        <f>SUM(M89:M95)</f>
        <v/>
      </c>
      <c r="N96" s="35">
        <f>SUM(N89:N95)</f>
        <v/>
      </c>
      <c r="O96" s="35">
        <f>SUM(O89:O95)</f>
        <v/>
      </c>
      <c r="P96" s="35">
        <f>SUM(P89:P95)</f>
        <v/>
      </c>
      <c r="Q96" s="35">
        <f>SUM(Q89:Q95)</f>
        <v/>
      </c>
      <c r="R96" s="35">
        <f>SUM(R89:R95)</f>
        <v/>
      </c>
      <c r="S96" s="35">
        <f>SUM(S89:S95)</f>
        <v/>
      </c>
      <c r="T96" s="35">
        <f>SUM(T89:T95)</f>
        <v/>
      </c>
      <c r="U96" s="35">
        <f>SUM(U89:U95)</f>
        <v/>
      </c>
      <c r="V96" s="35">
        <f>SUM(V89:V95)</f>
        <v/>
      </c>
      <c r="W96" s="35">
        <f>SUM(W89:W95)</f>
        <v/>
      </c>
      <c r="X96" s="35">
        <f>SUM(X89:X95)</f>
        <v/>
      </c>
      <c r="Y96" s="35">
        <f>SUM(Y89:Y95)</f>
        <v/>
      </c>
      <c r="Z96" s="35">
        <f>SUM(Z89:Z95)</f>
        <v/>
      </c>
      <c r="AA96" s="35">
        <f>SUM(AA89:AA95)</f>
        <v/>
      </c>
      <c r="AB96" s="35">
        <f>SUM(AB89:AB95)</f>
        <v/>
      </c>
      <c r="AC96" s="35">
        <f>SUM(AC89:AC95)</f>
        <v/>
      </c>
      <c r="AD96" s="35">
        <f>SUM(AD89:AD95)</f>
        <v/>
      </c>
      <c r="AE96" s="35" t="n"/>
      <c r="AF96" s="35" t="n"/>
      <c r="AH96" s="34" t="inlineStr">
        <is>
          <t>TOTAL RAKES</t>
        </is>
      </c>
      <c r="AI96" s="35">
        <f>SUM(AI89:AI95)</f>
        <v/>
      </c>
      <c r="AJ96" s="35">
        <f>SUM(AJ89:AJ95)</f>
        <v/>
      </c>
      <c r="AK96" s="35">
        <f>SUM(AK89:AK95)</f>
        <v/>
      </c>
      <c r="AL96" s="35">
        <f>SUM(AL89:AL95)</f>
        <v/>
      </c>
      <c r="AM96" s="35">
        <f>SUM(AM89:AM95)</f>
        <v/>
      </c>
      <c r="AN96" s="35">
        <f>SUM(AN89:AN95)</f>
        <v/>
      </c>
      <c r="AO96" s="35">
        <f>SUM(AO89:AO95)</f>
        <v/>
      </c>
      <c r="AP96" s="35">
        <f>SUM(AP89:AP95)</f>
        <v/>
      </c>
      <c r="AQ96" s="35">
        <f>SUM(AQ89:AQ95)</f>
        <v/>
      </c>
      <c r="AR96" s="35">
        <f>SUM(AR89:AR95)</f>
        <v/>
      </c>
      <c r="AS96" s="35">
        <f>SUM(AS89:AS95)</f>
        <v/>
      </c>
      <c r="AT96" s="35">
        <f>SUM(AT89:AT95)</f>
        <v/>
      </c>
      <c r="AU96" s="35">
        <f>SUM(AU89:AU95)</f>
        <v/>
      </c>
      <c r="AV96" s="35">
        <f>SUM(AV89:AV95)</f>
        <v/>
      </c>
      <c r="AW96" s="35">
        <f>SUM(AW89:AW95)</f>
        <v/>
      </c>
      <c r="AX96" s="35">
        <f>SUM(AX89:AX95)</f>
        <v/>
      </c>
      <c r="AY96" s="35">
        <f>SUM(AY89:AY95)</f>
        <v/>
      </c>
      <c r="AZ96" s="35">
        <f>SUM(AZ89:AZ95)</f>
        <v/>
      </c>
      <c r="BA96" s="35">
        <f>SUM(BA89:BA95)</f>
        <v/>
      </c>
      <c r="BB96" s="35">
        <f>SUM(BB89:BB95)</f>
        <v/>
      </c>
      <c r="BC96" s="35">
        <f>SUM(BC89:BC95)</f>
        <v/>
      </c>
      <c r="BD96" s="35">
        <f>SUM(BD89:BD95)</f>
        <v/>
      </c>
      <c r="BE96" s="35">
        <f>SUM(BE89:BE95)</f>
        <v/>
      </c>
      <c r="BF96" s="35">
        <f>SUM(BF89:BF95)</f>
        <v/>
      </c>
      <c r="BG96" s="35">
        <f>SUM(BG89:BG95)</f>
        <v/>
      </c>
      <c r="BH96" s="35">
        <f>SUM(BH89:BH95)</f>
        <v/>
      </c>
      <c r="BI96" s="35">
        <f>SUM(BI89:BI95)</f>
        <v/>
      </c>
      <c r="BJ96" s="35">
        <f>SUM(BJ89:BJ95)</f>
        <v/>
      </c>
      <c r="BK96" s="35">
        <f>SUM(BK89:BK95)</f>
        <v/>
      </c>
      <c r="BL96" s="35">
        <f>SUM(BL89:BL95)</f>
        <v/>
      </c>
      <c r="BM96" s="35">
        <f>SUM(BM89:BM95)</f>
        <v/>
      </c>
      <c r="BO96" s="34" t="inlineStr">
        <is>
          <t>TOTAL RAKES</t>
        </is>
      </c>
      <c r="BP96" s="35">
        <f>SUM(BP89:BP95)</f>
        <v/>
      </c>
      <c r="BQ96" s="35">
        <f>SUM(BQ89:BQ95)</f>
        <v/>
      </c>
      <c r="BR96" s="35">
        <f>SUM(BR89:BR95)</f>
        <v/>
      </c>
      <c r="BS96" s="35">
        <f>SUM(BS89:BS95)</f>
        <v/>
      </c>
      <c r="BT96" s="35">
        <f>SUM(BT89:BT95)</f>
        <v/>
      </c>
      <c r="BU96" s="35">
        <f>SUM(BU89:BU95)</f>
        <v/>
      </c>
      <c r="BV96" s="35">
        <f>SUM(BV89:BV95)</f>
        <v/>
      </c>
      <c r="BW96" s="35">
        <f>SUM(BW89:BW95)</f>
        <v/>
      </c>
      <c r="BX96" s="35">
        <f>SUM(BX89:BX95)</f>
        <v/>
      </c>
      <c r="BY96" s="35">
        <f>SUM(BY89:BY95)</f>
        <v/>
      </c>
      <c r="BZ96" s="35">
        <f>SUM(BZ89:BZ95)</f>
        <v/>
      </c>
      <c r="CA96" s="35">
        <f>SUM(CA89:CA95)</f>
        <v/>
      </c>
      <c r="CB96" s="35">
        <f>SUM(CB89:CB95)</f>
        <v/>
      </c>
      <c r="CC96" s="35">
        <f>SUM(CC89:CC95)</f>
        <v/>
      </c>
      <c r="CD96" s="35">
        <f>SUM(CD89:CD95)</f>
        <v/>
      </c>
      <c r="CE96" s="35">
        <f>SUM(CE89:CE95)</f>
        <v/>
      </c>
      <c r="CF96" s="35">
        <f>SUM(CF89:CF95)</f>
        <v/>
      </c>
      <c r="CG96" s="35">
        <f>SUM(CG89:CG95)</f>
        <v/>
      </c>
      <c r="CH96" s="35">
        <f>SUM(CH89:CH95)</f>
        <v/>
      </c>
      <c r="CI96" s="35">
        <f>SUM(CI89:CI95)</f>
        <v/>
      </c>
      <c r="CJ96" s="35">
        <f>SUM(CJ89:CJ95)</f>
        <v/>
      </c>
      <c r="CK96" s="35">
        <f>SUM(CK89:CK95)</f>
        <v/>
      </c>
      <c r="CL96" s="35">
        <f>SUM(CL89:CL95)</f>
        <v/>
      </c>
      <c r="CM96" s="35">
        <f>SUM(CM89:CM95)</f>
        <v/>
      </c>
      <c r="CN96" s="35">
        <f>SUM(CN89:CN95)</f>
        <v/>
      </c>
      <c r="CO96" s="35">
        <f>SUM(CO89:CO95)</f>
        <v/>
      </c>
      <c r="CP96" s="35">
        <f>SUM(CP89:CP95)</f>
        <v/>
      </c>
      <c r="CQ96" s="35">
        <f>SUM(CQ89:CQ95)</f>
        <v/>
      </c>
      <c r="CR96" s="35">
        <f>SUM(CR89:CR95)</f>
        <v/>
      </c>
      <c r="CS96" s="35">
        <f>SUM(CS89:CS95)</f>
        <v/>
      </c>
      <c r="CT96" s="35">
        <f>SUM(CT89:CT95)</f>
        <v/>
      </c>
    </row>
    <row r="98" ht="16.5" customHeight="1" thickBot="1">
      <c r="A98" s="2140" t="inlineStr">
        <is>
          <t>LAST YEAR LOADING IN MILLION TONNES</t>
        </is>
      </c>
      <c r="AG98" s="2134" t="n">
        <v>45901</v>
      </c>
    </row>
    <row r="99" ht="16.5" customHeight="1" thickBot="1">
      <c r="A99" s="2136" t="inlineStr">
        <is>
          <t>MONTH -25</t>
        </is>
      </c>
      <c r="B99" s="2" t="n">
        <v>2</v>
      </c>
      <c r="C99" s="3" t="n">
        <v>3</v>
      </c>
      <c r="D99" s="2" t="n">
        <v>4</v>
      </c>
      <c r="E99" s="3" t="n">
        <v>5</v>
      </c>
      <c r="F99" s="2" t="n">
        <v>6</v>
      </c>
      <c r="G99" s="3" t="n">
        <v>7</v>
      </c>
      <c r="H99" s="2" t="n">
        <v>8</v>
      </c>
      <c r="I99" s="3" t="n">
        <v>9</v>
      </c>
      <c r="J99" s="2" t="n">
        <v>10</v>
      </c>
      <c r="K99" s="3" t="n">
        <v>11</v>
      </c>
      <c r="L99" s="2" t="n">
        <v>12</v>
      </c>
      <c r="M99" s="3" t="n">
        <v>13</v>
      </c>
      <c r="N99" s="2" t="n">
        <v>14</v>
      </c>
      <c r="O99" s="3" t="n">
        <v>15</v>
      </c>
      <c r="P99" s="2" t="n">
        <v>16</v>
      </c>
      <c r="Q99" s="3" t="n">
        <v>17</v>
      </c>
      <c r="R99" s="2" t="n">
        <v>18</v>
      </c>
      <c r="S99" s="3" t="n">
        <v>19</v>
      </c>
      <c r="T99" s="2" t="n">
        <v>20</v>
      </c>
      <c r="U99" s="3" t="n">
        <v>21</v>
      </c>
      <c r="V99" s="2" t="n">
        <v>22</v>
      </c>
      <c r="W99" s="3" t="n">
        <v>23</v>
      </c>
      <c r="X99" s="2" t="n">
        <v>24</v>
      </c>
      <c r="Y99" s="3" t="n">
        <v>25</v>
      </c>
      <c r="Z99" s="2" t="n">
        <v>26</v>
      </c>
      <c r="AA99" s="3" t="n">
        <v>27</v>
      </c>
      <c r="AB99" s="2" t="n">
        <v>28</v>
      </c>
      <c r="AC99" s="3" t="n">
        <v>29</v>
      </c>
      <c r="AD99" s="2" t="n">
        <v>30</v>
      </c>
      <c r="AE99" s="3" t="n">
        <v>31</v>
      </c>
      <c r="AF99" s="2" t="n">
        <v>1</v>
      </c>
      <c r="AG99" s="3" t="n">
        <v>2</v>
      </c>
      <c r="AH99" s="5" t="n">
        <v>3</v>
      </c>
    </row>
    <row r="100" ht="15.75" customHeight="1">
      <c r="A100" s="40" t="inlineStr">
        <is>
          <t>DAILY</t>
        </is>
      </c>
      <c r="B100" s="58" t="n">
        <v>5832</v>
      </c>
      <c r="C100" s="58" t="n">
        <v>6038</v>
      </c>
      <c r="D100" s="59" t="n">
        <v>5915</v>
      </c>
      <c r="E100" s="57" t="n">
        <v>5592</v>
      </c>
      <c r="F100" s="57" t="n">
        <v>6121</v>
      </c>
      <c r="G100" s="59" t="n">
        <v>5756</v>
      </c>
      <c r="H100" s="57" t="n">
        <v>5174</v>
      </c>
      <c r="I100" s="57" t="n">
        <v>5796</v>
      </c>
      <c r="J100" s="59" t="n">
        <v>5309</v>
      </c>
      <c r="K100" s="57" t="n">
        <v>5815</v>
      </c>
      <c r="L100" s="57" t="n">
        <v>5508</v>
      </c>
      <c r="M100" s="59" t="n">
        <v>5507</v>
      </c>
      <c r="N100" s="57" t="n">
        <v>5854</v>
      </c>
      <c r="O100" s="57" t="n">
        <v>5708</v>
      </c>
      <c r="P100" s="59" t="n">
        <v>5210</v>
      </c>
      <c r="Q100" s="57" t="n">
        <v>5335</v>
      </c>
      <c r="R100" s="57" t="n">
        <v>5839</v>
      </c>
      <c r="S100" s="59" t="n">
        <v>5399</v>
      </c>
      <c r="T100" s="57" t="n">
        <v>5444</v>
      </c>
      <c r="U100" s="57" t="n">
        <v>5582</v>
      </c>
      <c r="V100" s="59" t="n">
        <v>5788</v>
      </c>
      <c r="W100" s="57" t="n">
        <v>5909</v>
      </c>
      <c r="X100" s="57" t="n">
        <v>6131</v>
      </c>
      <c r="Y100" s="59" t="n">
        <v>6353</v>
      </c>
      <c r="Z100" s="57" t="n">
        <v>5755</v>
      </c>
      <c r="AA100" s="57" t="n">
        <v>6090</v>
      </c>
      <c r="AB100" s="59" t="n">
        <v>5759</v>
      </c>
      <c r="AC100" s="57" t="n">
        <v>5796</v>
      </c>
      <c r="AD100" s="57" t="n">
        <v>5705</v>
      </c>
      <c r="AE100" s="59" t="n">
        <v>6134</v>
      </c>
      <c r="AF100" s="36" t="n">
        <v>5040</v>
      </c>
      <c r="AG100" s="36" t="n">
        <v>5653</v>
      </c>
      <c r="AH100" s="37" t="n">
        <v>5702</v>
      </c>
    </row>
    <row r="101">
      <c r="A101" s="39" t="inlineStr">
        <is>
          <t>MT</t>
        </is>
      </c>
      <c r="B101" s="56" t="n">
        <v>0.3</v>
      </c>
      <c r="C101" s="56" t="n">
        <v>0.29</v>
      </c>
      <c r="D101" s="56" t="n">
        <v>0.33</v>
      </c>
      <c r="E101" s="56" t="n">
        <v>0.29</v>
      </c>
      <c r="F101" s="56" t="n">
        <v>0.278</v>
      </c>
      <c r="G101" s="56" t="n">
        <v>0.298</v>
      </c>
      <c r="H101" s="56" t="n">
        <v>0.25</v>
      </c>
      <c r="I101" s="56" t="n">
        <v>0.286</v>
      </c>
      <c r="J101" s="56" t="n">
        <v>0.256</v>
      </c>
      <c r="K101" s="56" t="n">
        <v>0.257</v>
      </c>
      <c r="L101" s="56" t="n">
        <v>0.33</v>
      </c>
      <c r="M101" s="56" t="n">
        <v>0.268</v>
      </c>
      <c r="N101" s="56" t="n">
        <v>0.317</v>
      </c>
      <c r="O101" s="56" t="n">
        <v>0.3</v>
      </c>
      <c r="P101" s="56" t="n">
        <v>0.25</v>
      </c>
      <c r="Q101" s="56" t="n">
        <v>0.264</v>
      </c>
      <c r="R101" s="56" t="n">
        <v>0.269</v>
      </c>
      <c r="S101" s="56" t="n">
        <v>0.29</v>
      </c>
      <c r="T101" s="56" t="n">
        <v>0.29</v>
      </c>
      <c r="U101" s="56" t="n">
        <v>0.3</v>
      </c>
      <c r="V101" s="56" t="n">
        <v>0.28</v>
      </c>
      <c r="W101" s="56" t="n">
        <v>0.31</v>
      </c>
      <c r="X101" s="56" t="n">
        <v>0.279</v>
      </c>
      <c r="Y101" s="56" t="n">
        <v>0.3</v>
      </c>
      <c r="Z101" s="56" t="n">
        <v>0.28</v>
      </c>
      <c r="AA101" s="56" t="n">
        <v>0.31</v>
      </c>
      <c r="AB101" s="56" t="n">
        <v>0.313</v>
      </c>
      <c r="AC101" s="56" t="n">
        <v>0.29</v>
      </c>
      <c r="AD101" s="56" t="n">
        <v>0.31</v>
      </c>
      <c r="AE101" s="56" t="n">
        <v>0.31</v>
      </c>
      <c r="AF101" s="56" t="n">
        <v>0.26</v>
      </c>
      <c r="AG101" s="1" t="n">
        <v>0.26</v>
      </c>
      <c r="AH101" s="31" t="n">
        <v>0.29</v>
      </c>
    </row>
    <row r="102" ht="15" customHeight="1" thickBot="1">
      <c r="A102" s="2132" t="inlineStr">
        <is>
          <t xml:space="preserve"> PROG AVG LDG FROM APR</t>
        </is>
      </c>
      <c r="B102" s="52" t="n">
        <v>5468.184</v>
      </c>
      <c r="C102" s="52" t="n">
        <v>5471.730158730159</v>
      </c>
      <c r="D102" s="52" t="n">
        <v>5472.677165354331</v>
      </c>
      <c r="E102" s="52" t="n">
        <v>5477.7421875</v>
      </c>
      <c r="F102" s="52" t="n">
        <v>5479.899224806201</v>
      </c>
      <c r="G102" s="52" t="n">
        <v>5477.546153846154</v>
      </c>
      <c r="H102" s="52" t="n">
        <v>5479.977099236641</v>
      </c>
      <c r="I102" s="52" t="n">
        <v>5478.681818181818</v>
      </c>
      <c r="J102" s="52" t="n">
        <v>5481.210526315789</v>
      </c>
      <c r="K102" s="52" t="n">
        <v>5481.410447761194</v>
      </c>
      <c r="L102" s="52" t="n">
        <v>5481.6</v>
      </c>
      <c r="M102" s="52" t="n">
        <v>5484.338235294118</v>
      </c>
      <c r="N102" s="52" t="n">
        <v>5485.970802919708</v>
      </c>
      <c r="O102" s="52" t="n">
        <v>5483.971014492754</v>
      </c>
      <c r="P102" s="52" t="n">
        <v>5482.89928057554</v>
      </c>
      <c r="Q102" s="52" t="n">
        <v>5485.442857142857</v>
      </c>
      <c r="R102" s="52" t="n">
        <v>5484.829787234043</v>
      </c>
      <c r="S102" s="52" t="n">
        <v>5484.542253521126</v>
      </c>
      <c r="T102" s="52" t="n">
        <v>5485.223776223776</v>
      </c>
      <c r="U102" s="52" t="n">
        <v>5487.326388888889</v>
      </c>
      <c r="V102" s="52" t="n">
        <v>5490.23448275862</v>
      </c>
      <c r="W102" s="52" t="n">
        <v>5494.623287671233</v>
      </c>
      <c r="X102" s="52" t="n">
        <v>5500.462585034014</v>
      </c>
      <c r="Y102" s="52" t="n">
        <v>5502.182432432433</v>
      </c>
      <c r="Z102" s="52" t="n">
        <v>5506.127516778523</v>
      </c>
      <c r="AA102" s="52" t="n">
        <v>5507.813333333334</v>
      </c>
      <c r="AB102" s="52" t="n">
        <v>5509.721854304636</v>
      </c>
      <c r="AC102" s="52" t="n">
        <v>5511.006578947368</v>
      </c>
      <c r="AD102" s="52" t="n">
        <v>5515.078431372549</v>
      </c>
      <c r="AE102" s="626" t="n">
        <v>5548.019607843137</v>
      </c>
      <c r="AF102" s="626" t="n">
        <v>5548.701298701299</v>
      </c>
      <c r="AG102" s="626" t="n">
        <v>5549.690322580645</v>
      </c>
      <c r="AH102" s="43" t="n">
        <v>5552.166666666667</v>
      </c>
    </row>
    <row r="103" ht="30.75" customHeight="1">
      <c r="B103" s="2135" t="n">
        <v>3</v>
      </c>
      <c r="C103" s="2135" t="n">
        <v>4</v>
      </c>
      <c r="D103" s="2135" t="n">
        <v>5</v>
      </c>
      <c r="E103" s="2135" t="n">
        <v>6</v>
      </c>
      <c r="F103" s="2135" t="n">
        <v>7</v>
      </c>
      <c r="G103" s="2135" t="n">
        <v>8</v>
      </c>
      <c r="H103" s="2135" t="n">
        <v>9</v>
      </c>
      <c r="I103" s="2135" t="n">
        <v>10</v>
      </c>
      <c r="J103" s="2135" t="n">
        <v>11</v>
      </c>
      <c r="K103" s="2135" t="n">
        <v>12</v>
      </c>
      <c r="L103" s="2135" t="n">
        <v>13</v>
      </c>
      <c r="M103" s="2135" t="n">
        <v>14</v>
      </c>
      <c r="N103" s="2135" t="n">
        <v>15</v>
      </c>
      <c r="O103" s="2135" t="n">
        <v>16</v>
      </c>
      <c r="P103" s="2135" t="n">
        <v>17</v>
      </c>
      <c r="Q103" s="2135" t="n">
        <v>18</v>
      </c>
      <c r="R103" s="2135" t="n">
        <v>19</v>
      </c>
      <c r="S103" s="2135" t="n">
        <v>20</v>
      </c>
      <c r="T103" s="2135" t="n">
        <v>21</v>
      </c>
      <c r="U103" s="2135" t="n">
        <v>22</v>
      </c>
      <c r="V103" s="2135" t="n">
        <v>23</v>
      </c>
      <c r="W103" s="2135" t="n">
        <v>24</v>
      </c>
      <c r="X103" s="2135" t="n">
        <v>25</v>
      </c>
      <c r="Y103" s="2135" t="n">
        <v>26</v>
      </c>
      <c r="Z103" s="2135" t="n">
        <v>27</v>
      </c>
      <c r="AA103" s="2135" t="n">
        <v>28</v>
      </c>
      <c r="AB103" s="2135" t="n">
        <v>29</v>
      </c>
      <c r="AC103" s="2135" t="n">
        <v>30</v>
      </c>
      <c r="AD103" s="2135" t="n">
        <v>31</v>
      </c>
      <c r="AE103" s="2135" t="n">
        <v>1</v>
      </c>
      <c r="AF103" s="2135" t="n">
        <v>2</v>
      </c>
      <c r="AG103" s="2135" t="n">
        <v>34</v>
      </c>
      <c r="AH103" s="2135" t="n">
        <v>35</v>
      </c>
    </row>
    <row r="105" ht="15.75" customHeight="1" thickBot="1"/>
    <row r="106" ht="15.75" customHeight="1">
      <c r="B106" s="57" t="n"/>
    </row>
  </sheetData>
  <mergeCells count="27">
    <mergeCell ref="CY47:ED47"/>
    <mergeCell ref="A59:B59"/>
    <mergeCell ref="BO1:CT1"/>
    <mergeCell ref="CW1:CW2"/>
    <mergeCell ref="AH47:BM47"/>
    <mergeCell ref="A30:AF30"/>
    <mergeCell ref="AH87:BM87"/>
    <mergeCell ref="EF18:FK18"/>
    <mergeCell ref="AH18:BM18"/>
    <mergeCell ref="A1:AF1"/>
    <mergeCell ref="CY18:ED18"/>
    <mergeCell ref="BO30:CT30"/>
    <mergeCell ref="A87:AF87"/>
    <mergeCell ref="EF1:FK1"/>
    <mergeCell ref="AH1:BM1"/>
    <mergeCell ref="CY30:ED30"/>
    <mergeCell ref="A58:C58"/>
    <mergeCell ref="A18:AF18"/>
    <mergeCell ref="AH58:BM58"/>
    <mergeCell ref="BO47:CT47"/>
    <mergeCell ref="BO87:CT87"/>
    <mergeCell ref="A47:AF47"/>
    <mergeCell ref="CY1:ED1"/>
    <mergeCell ref="A102:A103"/>
    <mergeCell ref="AH30:BM30"/>
    <mergeCell ref="BO18:CT18"/>
    <mergeCell ref="AG98:AH98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46786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LINK!BQ3</f>
        <v/>
      </c>
      <c r="F5" s="136">
        <f>LINK!C32</f>
        <v/>
      </c>
      <c r="G5" s="92">
        <f>LINK!AJ32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LINK!EH3</f>
        <v/>
      </c>
      <c r="L5" s="68">
        <f>LINK!BQ32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LINK!BQ4</f>
        <v/>
      </c>
      <c r="F6" s="138">
        <f>LINK!C33</f>
        <v/>
      </c>
      <c r="G6" s="142">
        <f>LINK!AJ33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LINK!EH4</f>
        <v/>
      </c>
      <c r="L6" s="131">
        <f>LINK!BQ33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LINK!BQ5</f>
        <v/>
      </c>
      <c r="F7" s="138">
        <f>LINK!C34</f>
        <v/>
      </c>
      <c r="G7" s="142">
        <f>LINK!AJ34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LINK!EH5</f>
        <v/>
      </c>
      <c r="L7" s="131">
        <f>LINK!BQ34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LINK!BQ6</f>
        <v/>
      </c>
      <c r="F8" s="138">
        <f>LINK!C35</f>
        <v/>
      </c>
      <c r="G8" s="142">
        <f>LINK!AJ35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LINK!EH6</f>
        <v/>
      </c>
      <c r="L8" s="131">
        <f>LINK!BQ35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LINK!AJ70</f>
        <v/>
      </c>
      <c r="Q8" s="618">
        <f>LINK!BQ27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LINK!BQ7</f>
        <v/>
      </c>
      <c r="F9" s="138">
        <f>LINK!C36</f>
        <v/>
      </c>
      <c r="G9" s="142">
        <f>LINK!AJ36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LINK!EH7</f>
        <v/>
      </c>
      <c r="L9" s="131">
        <f>LINK!BQ36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LINK!BQ8</f>
        <v/>
      </c>
      <c r="F10" s="138">
        <f>LINK!C37</f>
        <v/>
      </c>
      <c r="G10" s="142">
        <f>LINK!AJ37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LINK!EH8</f>
        <v/>
      </c>
      <c r="L10" s="131">
        <f>LINK!BQ37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LINK!DA20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LINK!BQ9</f>
        <v/>
      </c>
      <c r="F11" s="138">
        <f>LINK!C38</f>
        <v/>
      </c>
      <c r="G11" s="142">
        <f>LINK!AJ38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LINK!EH9</f>
        <v/>
      </c>
      <c r="L11" s="131">
        <f>LINK!BQ38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LINK!DA21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LINK!BQ10</f>
        <v/>
      </c>
      <c r="F12" s="138">
        <f>LINK!C39</f>
        <v/>
      </c>
      <c r="G12" s="142">
        <f>LINK!AJ39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LINK!EH10</f>
        <v/>
      </c>
      <c r="L12" s="131">
        <f>LINK!BQ39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LINK!DA22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LINK!BQ11</f>
        <v/>
      </c>
      <c r="F13" s="138">
        <f>LINK!C40</f>
        <v/>
      </c>
      <c r="G13" s="142">
        <f>LINK!AJ40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LINK!EH11</f>
        <v/>
      </c>
      <c r="L13" s="131">
        <f>LINK!BQ40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LINK!DA23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LINK!BQ12</f>
        <v/>
      </c>
      <c r="F14" s="138">
        <f>LINK!C41</f>
        <v/>
      </c>
      <c r="G14" s="142">
        <f>LINK!AJ41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LINK!EH12</f>
        <v/>
      </c>
      <c r="L14" s="131">
        <f>LINK!BQ41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LINK!DA24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LINK!BQ13</f>
        <v/>
      </c>
      <c r="F15" s="138">
        <f>LINK!C42</f>
        <v/>
      </c>
      <c r="G15" s="142">
        <f>LINK!AJ42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LINK!EH13</f>
        <v/>
      </c>
      <c r="L15" s="131">
        <f>LINK!BQ42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LINK!DA25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LINK!BQ14</f>
        <v/>
      </c>
      <c r="F16" s="138">
        <f>LINK!C43</f>
        <v/>
      </c>
      <c r="G16" s="142">
        <f>LINK!AJ43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LINK!EH14</f>
        <v/>
      </c>
      <c r="L16" s="131">
        <f>LINK!BQ43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LINK!DA27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LINK!BQ15</f>
        <v/>
      </c>
      <c r="F17" s="149">
        <f>LINK!C44</f>
        <v/>
      </c>
      <c r="G17" s="144">
        <f>LINK!AJ44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LINK!EH15</f>
        <v/>
      </c>
      <c r="L17" s="147">
        <f>LINK!BQ44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LINK!BQ20</f>
        <v/>
      </c>
      <c r="F21" s="67">
        <f>LINK!C49</f>
        <v/>
      </c>
      <c r="G21" s="92">
        <f>LINK!AJ49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LINK!EH20</f>
        <v/>
      </c>
      <c r="L21" s="74">
        <f>LINK!BQ49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LINK!BQ21</f>
        <v/>
      </c>
      <c r="F22" s="73">
        <f>LINK!C50</f>
        <v/>
      </c>
      <c r="G22" s="142">
        <f>LINK!AJ50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LINK!EH21</f>
        <v/>
      </c>
      <c r="L22" s="131">
        <f>LINK!BQ50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LINK!BQ22</f>
        <v/>
      </c>
      <c r="F23" s="73">
        <f>LINK!C51</f>
        <v/>
      </c>
      <c r="G23" s="142">
        <f>LINK!AJ51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LINK!EH22</f>
        <v/>
      </c>
      <c r="L23" s="131">
        <f>LINK!BQ51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LINK!BQ23</f>
        <v/>
      </c>
      <c r="F24" s="73">
        <f>LINK!C52</f>
        <v/>
      </c>
      <c r="G24" s="142">
        <f>LINK!AJ52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LINK!EH23</f>
        <v/>
      </c>
      <c r="L24" s="131">
        <f>LINK!BQ52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LINK!BQ24</f>
        <v/>
      </c>
      <c r="F25" s="73">
        <f>LINK!C53</f>
        <v/>
      </c>
      <c r="G25" s="142">
        <f>LINK!AJ53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LINK!EH24</f>
        <v/>
      </c>
      <c r="L25" s="131">
        <f>LINK!BQ53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LINK!BQ25</f>
        <v/>
      </c>
      <c r="F26" s="73">
        <f>LINK!C54</f>
        <v/>
      </c>
      <c r="G26" s="142">
        <f>LINK!AJ54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LINK!EH25</f>
        <v/>
      </c>
      <c r="L26" s="131">
        <f>LINK!BQ54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LINK!BQ26</f>
        <v/>
      </c>
      <c r="F27" s="151">
        <f>LINK!C55</f>
        <v/>
      </c>
      <c r="G27" s="144">
        <f>LINK!AJ55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LINK!EH26</f>
        <v/>
      </c>
      <c r="L27" s="147">
        <f>LINK!BQ55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46787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LINK!BR3</f>
        <v/>
      </c>
      <c r="F5" s="136">
        <f>LINK!D32</f>
        <v/>
      </c>
      <c r="G5" s="92">
        <f>LINK!AK32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LINK!EI3</f>
        <v/>
      </c>
      <c r="L5" s="68">
        <f>LINK!BR32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LINK!BR4</f>
        <v/>
      </c>
      <c r="F6" s="138">
        <f>LINK!D33</f>
        <v/>
      </c>
      <c r="G6" s="142">
        <f>LINK!AK33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LINK!EI4</f>
        <v/>
      </c>
      <c r="L6" s="131">
        <f>LINK!BR33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LINK!BR5</f>
        <v/>
      </c>
      <c r="F7" s="138">
        <f>LINK!D34</f>
        <v/>
      </c>
      <c r="G7" s="142">
        <f>LINK!AK34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LINK!EI5</f>
        <v/>
      </c>
      <c r="L7" s="131">
        <f>LINK!BR34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LINK!BR6</f>
        <v/>
      </c>
      <c r="F8" s="138">
        <f>LINK!D35</f>
        <v/>
      </c>
      <c r="G8" s="142">
        <f>LINK!AK35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LINK!EI6</f>
        <v/>
      </c>
      <c r="L8" s="131">
        <f>LINK!BR35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LINK!AK70</f>
        <v/>
      </c>
      <c r="Q8" s="618">
        <f>LINK!BR27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LINK!BR7</f>
        <v/>
      </c>
      <c r="F9" s="138">
        <f>LINK!D36</f>
        <v/>
      </c>
      <c r="G9" s="142">
        <f>LINK!AK36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LINK!EI7</f>
        <v/>
      </c>
      <c r="L9" s="131">
        <f>LINK!BR36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LINK!BR8</f>
        <v/>
      </c>
      <c r="F10" s="138">
        <f>LINK!D37</f>
        <v/>
      </c>
      <c r="G10" s="142">
        <f>LINK!AK37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LINK!EI8</f>
        <v/>
      </c>
      <c r="L10" s="131">
        <f>LINK!BR37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LINK!DB20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LINK!BR9</f>
        <v/>
      </c>
      <c r="F11" s="138">
        <f>LINK!D38</f>
        <v/>
      </c>
      <c r="G11" s="142">
        <f>LINK!AK38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LINK!EI9</f>
        <v/>
      </c>
      <c r="L11" s="131">
        <f>LINK!BR38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LINK!DB21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LINK!BR10</f>
        <v/>
      </c>
      <c r="F12" s="138">
        <f>LINK!D39</f>
        <v/>
      </c>
      <c r="G12" s="142">
        <f>LINK!AK39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LINK!EI10</f>
        <v/>
      </c>
      <c r="L12" s="131">
        <f>LINK!BR39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LINK!DB22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LINK!BR11</f>
        <v/>
      </c>
      <c r="F13" s="138">
        <f>LINK!D40</f>
        <v/>
      </c>
      <c r="G13" s="142">
        <f>LINK!AK40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LINK!EI11</f>
        <v/>
      </c>
      <c r="L13" s="131">
        <f>LINK!BR40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LINK!DB23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LINK!BR12</f>
        <v/>
      </c>
      <c r="F14" s="138">
        <f>LINK!D41</f>
        <v/>
      </c>
      <c r="G14" s="142">
        <f>LINK!AK41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LINK!EI12</f>
        <v/>
      </c>
      <c r="L14" s="131">
        <f>LINK!BR41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LINK!DB24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LINK!BR13</f>
        <v/>
      </c>
      <c r="F15" s="138">
        <f>LINK!D42</f>
        <v/>
      </c>
      <c r="G15" s="142">
        <f>LINK!AK42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LINK!EI13</f>
        <v/>
      </c>
      <c r="L15" s="131">
        <f>LINK!BR42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LINK!DB25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LINK!BR14</f>
        <v/>
      </c>
      <c r="F16" s="138">
        <f>LINK!D43</f>
        <v/>
      </c>
      <c r="G16" s="142">
        <f>LINK!AK43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LINK!EI14</f>
        <v/>
      </c>
      <c r="L16" s="131">
        <f>LINK!BR43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LINK!DB27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LINK!BR15</f>
        <v/>
      </c>
      <c r="F17" s="149">
        <f>LINK!D44</f>
        <v/>
      </c>
      <c r="G17" s="144">
        <f>LINK!AK44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LINK!EI15</f>
        <v/>
      </c>
      <c r="L17" s="147">
        <f>LINK!BR44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LINK!BR20</f>
        <v/>
      </c>
      <c r="F21" s="67">
        <f>LINK!D49</f>
        <v/>
      </c>
      <c r="G21" s="92">
        <f>LINK!AK49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LINK!EI20</f>
        <v/>
      </c>
      <c r="L21" s="74">
        <f>LINK!BR49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LINK!BR21</f>
        <v/>
      </c>
      <c r="F22" s="73">
        <f>LINK!D50</f>
        <v/>
      </c>
      <c r="G22" s="142">
        <f>LINK!AK50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LINK!EI21</f>
        <v/>
      </c>
      <c r="L22" s="131">
        <f>LINK!BR50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LINK!BR22</f>
        <v/>
      </c>
      <c r="F23" s="73">
        <f>LINK!D51</f>
        <v/>
      </c>
      <c r="G23" s="142">
        <f>LINK!AK51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LINK!EI22</f>
        <v/>
      </c>
      <c r="L23" s="131">
        <f>LINK!BR51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LINK!BR23</f>
        <v/>
      </c>
      <c r="F24" s="73">
        <f>LINK!D52</f>
        <v/>
      </c>
      <c r="G24" s="142">
        <f>LINK!AK52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LINK!EI23</f>
        <v/>
      </c>
      <c r="L24" s="131">
        <f>LINK!BR52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LINK!BR24</f>
        <v/>
      </c>
      <c r="F25" s="73">
        <f>LINK!D53</f>
        <v/>
      </c>
      <c r="G25" s="142">
        <f>LINK!AK53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LINK!EI24</f>
        <v/>
      </c>
      <c r="L25" s="131">
        <f>LINK!BR53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LINK!BR25</f>
        <v/>
      </c>
      <c r="F26" s="73">
        <f>LINK!D54</f>
        <v/>
      </c>
      <c r="G26" s="142">
        <f>LINK!AK54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LINK!EI25</f>
        <v/>
      </c>
      <c r="L26" s="131">
        <f>LINK!BR54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LINK!BR26</f>
        <v/>
      </c>
      <c r="F27" s="151">
        <f>LINK!D55</f>
        <v/>
      </c>
      <c r="G27" s="144">
        <f>LINK!AK55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LINK!EI26</f>
        <v/>
      </c>
      <c r="L27" s="147">
        <f>LINK!BR55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46788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LINK!BS3</f>
        <v/>
      </c>
      <c r="F5" s="136">
        <f>LINK!E32</f>
        <v/>
      </c>
      <c r="G5" s="92">
        <f>LINK!AL32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LINK!EJ3</f>
        <v/>
      </c>
      <c r="L5" s="68">
        <f>LINK!BS32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LINK!BS4</f>
        <v/>
      </c>
      <c r="F6" s="138">
        <f>LINK!E33</f>
        <v/>
      </c>
      <c r="G6" s="142">
        <f>LINK!AL33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LINK!EJ4</f>
        <v/>
      </c>
      <c r="L6" s="131">
        <f>LINK!BS33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LINK!BS5</f>
        <v/>
      </c>
      <c r="F7" s="138">
        <f>LINK!E34</f>
        <v/>
      </c>
      <c r="G7" s="142">
        <f>LINK!AL34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LINK!EJ5</f>
        <v/>
      </c>
      <c r="L7" s="131">
        <f>LINK!BS34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LINK!BS6</f>
        <v/>
      </c>
      <c r="F8" s="138">
        <f>LINK!E35</f>
        <v/>
      </c>
      <c r="G8" s="142">
        <f>LINK!AL35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LINK!EJ6</f>
        <v/>
      </c>
      <c r="L8" s="131">
        <f>LINK!BS35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LINK!AL70</f>
        <v/>
      </c>
      <c r="Q8" s="618">
        <f>LINK!BS27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LINK!BS7</f>
        <v/>
      </c>
      <c r="F9" s="138">
        <f>LINK!E36</f>
        <v/>
      </c>
      <c r="G9" s="142">
        <f>LINK!AL36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LINK!EJ7</f>
        <v/>
      </c>
      <c r="L9" s="131">
        <f>LINK!BS36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LINK!BS8</f>
        <v/>
      </c>
      <c r="F10" s="138">
        <f>LINK!E37</f>
        <v/>
      </c>
      <c r="G10" s="142">
        <f>LINK!AL37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LINK!EJ8</f>
        <v/>
      </c>
      <c r="L10" s="131">
        <f>LINK!BS37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LINK!DC20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LINK!BS9</f>
        <v/>
      </c>
      <c r="F11" s="138">
        <f>LINK!E38</f>
        <v/>
      </c>
      <c r="G11" s="142">
        <f>LINK!AL38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LINK!EJ9</f>
        <v/>
      </c>
      <c r="L11" s="131">
        <f>LINK!BS38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LINK!DC21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LINK!BS10</f>
        <v/>
      </c>
      <c r="F12" s="138">
        <f>LINK!E39</f>
        <v/>
      </c>
      <c r="G12" s="142">
        <f>LINK!AL39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LINK!EJ10</f>
        <v/>
      </c>
      <c r="L12" s="131">
        <f>LINK!BS39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LINK!DC22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LINK!BS11</f>
        <v/>
      </c>
      <c r="F13" s="138">
        <f>LINK!E40</f>
        <v/>
      </c>
      <c r="G13" s="142">
        <f>LINK!AL40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LINK!EJ11</f>
        <v/>
      </c>
      <c r="L13" s="131">
        <f>LINK!BS40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LINK!DC23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LINK!BS12</f>
        <v/>
      </c>
      <c r="F14" s="138">
        <f>LINK!E41</f>
        <v/>
      </c>
      <c r="G14" s="142">
        <f>LINK!AL41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LINK!EJ12</f>
        <v/>
      </c>
      <c r="L14" s="131">
        <f>LINK!BS41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LINK!DC24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LINK!BS13</f>
        <v/>
      </c>
      <c r="F15" s="138">
        <f>LINK!E42</f>
        <v/>
      </c>
      <c r="G15" s="142">
        <f>LINK!AL42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LINK!EJ13</f>
        <v/>
      </c>
      <c r="L15" s="131">
        <f>LINK!BS42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LINK!DC25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LINK!BS14</f>
        <v/>
      </c>
      <c r="F16" s="138">
        <f>LINK!E43</f>
        <v/>
      </c>
      <c r="G16" s="142">
        <f>LINK!AL43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LINK!EJ14</f>
        <v/>
      </c>
      <c r="L16" s="131">
        <f>LINK!BS43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LINK!DC27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LINK!BS15</f>
        <v/>
      </c>
      <c r="F17" s="149">
        <f>LINK!E44</f>
        <v/>
      </c>
      <c r="G17" s="144">
        <f>LINK!AL44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LINK!EJ15</f>
        <v/>
      </c>
      <c r="L17" s="147">
        <f>LINK!BS44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LINK!BS20</f>
        <v/>
      </c>
      <c r="F21" s="67">
        <f>LINK!E49</f>
        <v/>
      </c>
      <c r="G21" s="92">
        <f>LINK!AL49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LINK!EJ20</f>
        <v/>
      </c>
      <c r="L21" s="74">
        <f>LINK!BS49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LINK!BS21</f>
        <v/>
      </c>
      <c r="F22" s="73">
        <f>LINK!E50</f>
        <v/>
      </c>
      <c r="G22" s="142">
        <f>LINK!AL50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LINK!EJ21</f>
        <v/>
      </c>
      <c r="L22" s="131">
        <f>LINK!BS50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LINK!BS22</f>
        <v/>
      </c>
      <c r="F23" s="73">
        <f>LINK!E51</f>
        <v/>
      </c>
      <c r="G23" s="142">
        <f>LINK!AL51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LINK!EJ22</f>
        <v/>
      </c>
      <c r="L23" s="131">
        <f>LINK!BS51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LINK!BS23</f>
        <v/>
      </c>
      <c r="F24" s="73">
        <f>LINK!E52</f>
        <v/>
      </c>
      <c r="G24" s="142">
        <f>LINK!AL52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LINK!EJ23</f>
        <v/>
      </c>
      <c r="L24" s="131">
        <f>LINK!BS52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LINK!BS24</f>
        <v/>
      </c>
      <c r="F25" s="73">
        <f>LINK!E53</f>
        <v/>
      </c>
      <c r="G25" s="142">
        <f>LINK!AL53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LINK!EJ24</f>
        <v/>
      </c>
      <c r="L25" s="131">
        <f>LINK!BS53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LINK!BS25</f>
        <v/>
      </c>
      <c r="F26" s="73">
        <f>LINK!E54</f>
        <v/>
      </c>
      <c r="G26" s="142">
        <f>LINK!AL54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LINK!EJ25</f>
        <v/>
      </c>
      <c r="L26" s="131">
        <f>LINK!BS54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LINK!BS26</f>
        <v/>
      </c>
      <c r="F27" s="151">
        <f>LINK!E55</f>
        <v/>
      </c>
      <c r="G27" s="144">
        <f>LINK!AL55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LINK!EJ26</f>
        <v/>
      </c>
      <c r="L27" s="147">
        <f>LINK!BS55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46789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LINK!BT3</f>
        <v/>
      </c>
      <c r="F5" s="136">
        <f>LINK!F32</f>
        <v/>
      </c>
      <c r="G5" s="92">
        <f>LINK!AM32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LINK!EK3</f>
        <v/>
      </c>
      <c r="L5" s="68">
        <f>LINK!BT32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LINK!BT4</f>
        <v/>
      </c>
      <c r="F6" s="138">
        <f>LINK!F33</f>
        <v/>
      </c>
      <c r="G6" s="142">
        <f>LINK!AM33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LINK!EK4</f>
        <v/>
      </c>
      <c r="L6" s="131">
        <f>LINK!BT33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LINK!BT5</f>
        <v/>
      </c>
      <c r="F7" s="138">
        <f>LINK!F34</f>
        <v/>
      </c>
      <c r="G7" s="142">
        <f>LINK!AM34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LINK!EK5</f>
        <v/>
      </c>
      <c r="L7" s="131">
        <f>LINK!BT34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LINK!BT6</f>
        <v/>
      </c>
      <c r="F8" s="138">
        <f>LINK!F35</f>
        <v/>
      </c>
      <c r="G8" s="142">
        <f>LINK!AM35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LINK!EK6</f>
        <v/>
      </c>
      <c r="L8" s="131">
        <f>LINK!BT35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LINK!AM70</f>
        <v/>
      </c>
      <c r="Q8" s="618">
        <f>LINK!BT27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LINK!BT7</f>
        <v/>
      </c>
      <c r="F9" s="138">
        <f>LINK!F36</f>
        <v/>
      </c>
      <c r="G9" s="142">
        <f>LINK!AM36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LINK!EK7</f>
        <v/>
      </c>
      <c r="L9" s="131">
        <f>LINK!BT36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LINK!BT8</f>
        <v/>
      </c>
      <c r="F10" s="138">
        <f>LINK!F37</f>
        <v/>
      </c>
      <c r="G10" s="142">
        <f>LINK!AM37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LINK!EK8</f>
        <v/>
      </c>
      <c r="L10" s="131">
        <f>LINK!BT37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LINK!DD20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LINK!BT9</f>
        <v/>
      </c>
      <c r="F11" s="138">
        <f>LINK!F38</f>
        <v/>
      </c>
      <c r="G11" s="142">
        <f>LINK!AM38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LINK!EK9</f>
        <v/>
      </c>
      <c r="L11" s="131">
        <f>LINK!BT38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LINK!DD21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LINK!BT10</f>
        <v/>
      </c>
      <c r="F12" s="138">
        <f>LINK!F39</f>
        <v/>
      </c>
      <c r="G12" s="142">
        <f>LINK!AM39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LINK!EK10</f>
        <v/>
      </c>
      <c r="L12" s="131">
        <f>LINK!BT39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LINK!DD22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LINK!BT11</f>
        <v/>
      </c>
      <c r="F13" s="138">
        <f>LINK!F40</f>
        <v/>
      </c>
      <c r="G13" s="142">
        <f>LINK!AM40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LINK!EK11</f>
        <v/>
      </c>
      <c r="L13" s="131">
        <f>LINK!BT40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LINK!DD23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LINK!BT12</f>
        <v/>
      </c>
      <c r="F14" s="138">
        <f>LINK!F41</f>
        <v/>
      </c>
      <c r="G14" s="142">
        <f>LINK!AM41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LINK!EK12</f>
        <v/>
      </c>
      <c r="L14" s="131">
        <f>LINK!BT41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LINK!DD24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LINK!BT13</f>
        <v/>
      </c>
      <c r="F15" s="138">
        <f>LINK!F42</f>
        <v/>
      </c>
      <c r="G15" s="142">
        <f>LINK!AM42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LINK!EK13</f>
        <v/>
      </c>
      <c r="L15" s="131">
        <f>LINK!BT42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LINK!DD25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LINK!BT14</f>
        <v/>
      </c>
      <c r="F16" s="138">
        <f>LINK!F43</f>
        <v/>
      </c>
      <c r="G16" s="142">
        <f>LINK!AM43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LINK!EK14</f>
        <v/>
      </c>
      <c r="L16" s="131">
        <f>LINK!BT43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LINK!DD27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LINK!BT15</f>
        <v/>
      </c>
      <c r="F17" s="149">
        <f>LINK!F44</f>
        <v/>
      </c>
      <c r="G17" s="144">
        <f>LINK!AM44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LINK!EK15</f>
        <v/>
      </c>
      <c r="L17" s="147">
        <f>LINK!BT44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LINK!BT20</f>
        <v/>
      </c>
      <c r="F21" s="67">
        <f>LINK!F49</f>
        <v/>
      </c>
      <c r="G21" s="92">
        <f>LINK!AM49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LINK!EK20</f>
        <v/>
      </c>
      <c r="L21" s="74">
        <f>LINK!BT49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LINK!BT21</f>
        <v/>
      </c>
      <c r="F22" s="73">
        <f>LINK!F50</f>
        <v/>
      </c>
      <c r="G22" s="142">
        <f>LINK!AM50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LINK!EK21</f>
        <v/>
      </c>
      <c r="L22" s="131">
        <f>LINK!BT50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LINK!BT22</f>
        <v/>
      </c>
      <c r="F23" s="73">
        <f>LINK!F51</f>
        <v/>
      </c>
      <c r="G23" s="142">
        <f>LINK!AM51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LINK!EK22</f>
        <v/>
      </c>
      <c r="L23" s="131">
        <f>LINK!BT51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LINK!BT23</f>
        <v/>
      </c>
      <c r="F24" s="73">
        <f>LINK!F52</f>
        <v/>
      </c>
      <c r="G24" s="142">
        <f>LINK!AM52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LINK!EK23</f>
        <v/>
      </c>
      <c r="L24" s="131">
        <f>LINK!BT52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LINK!BT24</f>
        <v/>
      </c>
      <c r="F25" s="73">
        <f>LINK!F53</f>
        <v/>
      </c>
      <c r="G25" s="142">
        <f>LINK!AM53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LINK!EK24</f>
        <v/>
      </c>
      <c r="L25" s="131">
        <f>LINK!BT53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LINK!BT25</f>
        <v/>
      </c>
      <c r="F26" s="73">
        <f>LINK!F54</f>
        <v/>
      </c>
      <c r="G26" s="142">
        <f>LINK!AM54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LINK!EK25</f>
        <v/>
      </c>
      <c r="L26" s="131">
        <f>LINK!BT54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LINK!BT26</f>
        <v/>
      </c>
      <c r="F27" s="151">
        <f>LINK!F55</f>
        <v/>
      </c>
      <c r="G27" s="144">
        <f>LINK!AM55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LINK!EK26</f>
        <v/>
      </c>
      <c r="L27" s="147">
        <f>LINK!BT55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46790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LINK!BU3</f>
        <v/>
      </c>
      <c r="F5" s="136">
        <f>LINK!G32</f>
        <v/>
      </c>
      <c r="G5" s="92">
        <f>LINK!AN32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LINK!EL3</f>
        <v/>
      </c>
      <c r="L5" s="68">
        <f>LINK!BU32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LINK!BU4</f>
        <v/>
      </c>
      <c r="F6" s="138">
        <f>LINK!G33</f>
        <v/>
      </c>
      <c r="G6" s="142">
        <f>LINK!AN33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LINK!EL4</f>
        <v/>
      </c>
      <c r="L6" s="131">
        <f>LINK!BU33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LINK!BU5</f>
        <v/>
      </c>
      <c r="F7" s="138">
        <f>LINK!G34</f>
        <v/>
      </c>
      <c r="G7" s="142">
        <f>LINK!AN34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LINK!EL5</f>
        <v/>
      </c>
      <c r="L7" s="131">
        <f>LINK!BU34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LINK!BU6</f>
        <v/>
      </c>
      <c r="F8" s="138">
        <f>LINK!G35</f>
        <v/>
      </c>
      <c r="G8" s="142">
        <f>LINK!AN35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LINK!EL6</f>
        <v/>
      </c>
      <c r="L8" s="131">
        <f>LINK!BU35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LINK!AN70</f>
        <v/>
      </c>
      <c r="Q8" s="618">
        <f>LINK!BU27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LINK!BU7</f>
        <v/>
      </c>
      <c r="F9" s="138">
        <f>LINK!G36</f>
        <v/>
      </c>
      <c r="G9" s="142">
        <f>LINK!AN36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LINK!EL7</f>
        <v/>
      </c>
      <c r="L9" s="131">
        <f>LINK!BU36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LINK!BU8</f>
        <v/>
      </c>
      <c r="F10" s="138">
        <f>LINK!G37</f>
        <v/>
      </c>
      <c r="G10" s="142">
        <f>LINK!AN37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LINK!EL8</f>
        <v/>
      </c>
      <c r="L10" s="131">
        <f>LINK!BU37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LINK!DE20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LINK!BU9</f>
        <v/>
      </c>
      <c r="F11" s="138">
        <f>LINK!G38</f>
        <v/>
      </c>
      <c r="G11" s="142">
        <f>LINK!AN38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LINK!EL9</f>
        <v/>
      </c>
      <c r="L11" s="131">
        <f>LINK!BU38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LINK!DE21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LINK!BU10</f>
        <v/>
      </c>
      <c r="F12" s="138">
        <f>LINK!G39</f>
        <v/>
      </c>
      <c r="G12" s="142">
        <f>LINK!AN39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LINK!EL10</f>
        <v/>
      </c>
      <c r="L12" s="131">
        <f>LINK!BU39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LINK!DE22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LINK!BU11</f>
        <v/>
      </c>
      <c r="F13" s="138">
        <f>LINK!G40</f>
        <v/>
      </c>
      <c r="G13" s="142">
        <f>LINK!AN40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LINK!EL11</f>
        <v/>
      </c>
      <c r="L13" s="131">
        <f>LINK!BU40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LINK!DE23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LINK!BU12</f>
        <v/>
      </c>
      <c r="F14" s="138">
        <f>LINK!G41</f>
        <v/>
      </c>
      <c r="G14" s="142">
        <f>LINK!AN41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LINK!EL12</f>
        <v/>
      </c>
      <c r="L14" s="131">
        <f>LINK!BU41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LINK!DE24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LINK!BU13</f>
        <v/>
      </c>
      <c r="F15" s="138">
        <f>LINK!G42</f>
        <v/>
      </c>
      <c r="G15" s="142">
        <f>LINK!AN42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LINK!EL13</f>
        <v/>
      </c>
      <c r="L15" s="131">
        <f>LINK!BU42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LINK!DE25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LINK!BU14</f>
        <v/>
      </c>
      <c r="F16" s="138">
        <f>LINK!G43</f>
        <v/>
      </c>
      <c r="G16" s="142">
        <f>LINK!AN43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LINK!EL14</f>
        <v/>
      </c>
      <c r="L16" s="131">
        <f>LINK!BU43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LINK!DE27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LINK!BU15</f>
        <v/>
      </c>
      <c r="F17" s="149">
        <f>LINK!G44</f>
        <v/>
      </c>
      <c r="G17" s="144">
        <f>LINK!AN44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LINK!EL15</f>
        <v/>
      </c>
      <c r="L17" s="147">
        <f>LINK!BU44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LINK!BU20</f>
        <v/>
      </c>
      <c r="F21" s="67">
        <f>LINK!G49</f>
        <v/>
      </c>
      <c r="G21" s="92">
        <f>LINK!AN49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LINK!EL20</f>
        <v/>
      </c>
      <c r="L21" s="74">
        <f>LINK!BU49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LINK!BU21</f>
        <v/>
      </c>
      <c r="F22" s="73">
        <f>LINK!G50</f>
        <v/>
      </c>
      <c r="G22" s="142">
        <f>LINK!AN50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LINK!EL21</f>
        <v/>
      </c>
      <c r="L22" s="131">
        <f>LINK!BU50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LINK!BU22</f>
        <v/>
      </c>
      <c r="F23" s="73">
        <f>LINK!G51</f>
        <v/>
      </c>
      <c r="G23" s="142">
        <f>LINK!AN51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LINK!EL22</f>
        <v/>
      </c>
      <c r="L23" s="131">
        <f>LINK!BU51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LINK!BU23</f>
        <v/>
      </c>
      <c r="F24" s="73">
        <f>LINK!G52</f>
        <v/>
      </c>
      <c r="G24" s="142">
        <f>LINK!AN52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LINK!EL23</f>
        <v/>
      </c>
      <c r="L24" s="131">
        <f>LINK!BU52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LINK!BU24</f>
        <v/>
      </c>
      <c r="F25" s="73">
        <f>LINK!G53</f>
        <v/>
      </c>
      <c r="G25" s="142">
        <f>LINK!AN53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LINK!EL24</f>
        <v/>
      </c>
      <c r="L25" s="131">
        <f>LINK!BU53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LINK!BU25</f>
        <v/>
      </c>
      <c r="F26" s="73">
        <f>LINK!G54</f>
        <v/>
      </c>
      <c r="G26" s="142">
        <f>LINK!AN54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LINK!EL25</f>
        <v/>
      </c>
      <c r="L26" s="131">
        <f>LINK!BU54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LINK!BU26</f>
        <v/>
      </c>
      <c r="F27" s="151">
        <f>LINK!G55</f>
        <v/>
      </c>
      <c r="G27" s="144">
        <f>LINK!AN55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LINK!EL26</f>
        <v/>
      </c>
      <c r="L27" s="147">
        <f>LINK!BU55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46791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LINK!BV3</f>
        <v/>
      </c>
      <c r="F5" s="136">
        <f>LINK!H32</f>
        <v/>
      </c>
      <c r="G5" s="92">
        <f>LINK!AO32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LINK!EM3</f>
        <v/>
      </c>
      <c r="L5" s="68">
        <f>LINK!BV32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LINK!BV4</f>
        <v/>
      </c>
      <c r="F6" s="138">
        <f>LINK!H33</f>
        <v/>
      </c>
      <c r="G6" s="142">
        <f>LINK!AO33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LINK!EM4</f>
        <v/>
      </c>
      <c r="L6" s="131">
        <f>LINK!BV33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LINK!BV5</f>
        <v/>
      </c>
      <c r="F7" s="138">
        <f>LINK!H34</f>
        <v/>
      </c>
      <c r="G7" s="142">
        <f>LINK!AO34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LINK!EM5</f>
        <v/>
      </c>
      <c r="L7" s="131">
        <f>LINK!BV34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LINK!BV6</f>
        <v/>
      </c>
      <c r="F8" s="138">
        <f>LINK!H35</f>
        <v/>
      </c>
      <c r="G8" s="142">
        <f>LINK!AO35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LINK!EM6</f>
        <v/>
      </c>
      <c r="L8" s="131">
        <f>LINK!BV35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LINK!AO70</f>
        <v/>
      </c>
      <c r="Q8" s="618">
        <f>LINK!BV27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LINK!BV7</f>
        <v/>
      </c>
      <c r="F9" s="138">
        <f>LINK!H36</f>
        <v/>
      </c>
      <c r="G9" s="142">
        <f>LINK!AO36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LINK!EM7</f>
        <v/>
      </c>
      <c r="L9" s="131">
        <f>LINK!BV36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LINK!BV8</f>
        <v/>
      </c>
      <c r="F10" s="138">
        <f>LINK!H37</f>
        <v/>
      </c>
      <c r="G10" s="142">
        <f>LINK!AO37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LINK!EM8</f>
        <v/>
      </c>
      <c r="L10" s="131">
        <f>LINK!BV37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LINK!DF20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LINK!BV9</f>
        <v/>
      </c>
      <c r="F11" s="138">
        <f>LINK!H38</f>
        <v/>
      </c>
      <c r="G11" s="142">
        <f>LINK!AO38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LINK!EM9</f>
        <v/>
      </c>
      <c r="L11" s="131">
        <f>LINK!BV38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LINK!DF21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LINK!BV10</f>
        <v/>
      </c>
      <c r="F12" s="138">
        <f>LINK!H39</f>
        <v/>
      </c>
      <c r="G12" s="142">
        <f>LINK!AO39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LINK!EM10</f>
        <v/>
      </c>
      <c r="L12" s="131">
        <f>LINK!BV39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LINK!DF22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LINK!BV11</f>
        <v/>
      </c>
      <c r="F13" s="138">
        <f>LINK!H40</f>
        <v/>
      </c>
      <c r="G13" s="142">
        <f>LINK!AO40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LINK!EM11</f>
        <v/>
      </c>
      <c r="L13" s="131">
        <f>LINK!BV40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LINK!DF23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LINK!BV12</f>
        <v/>
      </c>
      <c r="F14" s="138">
        <f>LINK!H41</f>
        <v/>
      </c>
      <c r="G14" s="142">
        <f>LINK!AO41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LINK!EM12</f>
        <v/>
      </c>
      <c r="L14" s="131">
        <f>LINK!BV41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LINK!DF24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LINK!BV13</f>
        <v/>
      </c>
      <c r="F15" s="138">
        <f>LINK!H42</f>
        <v/>
      </c>
      <c r="G15" s="142">
        <f>LINK!AO42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LINK!EM13</f>
        <v/>
      </c>
      <c r="L15" s="131">
        <f>LINK!BV42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LINK!DF25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LINK!BV14</f>
        <v/>
      </c>
      <c r="F16" s="138">
        <f>LINK!H43</f>
        <v/>
      </c>
      <c r="G16" s="142">
        <f>LINK!AO43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LINK!EM14</f>
        <v/>
      </c>
      <c r="L16" s="131">
        <f>LINK!BV43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LINK!DF27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LINK!BV15</f>
        <v/>
      </c>
      <c r="F17" s="149">
        <f>LINK!H44</f>
        <v/>
      </c>
      <c r="G17" s="144">
        <f>LINK!AO44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LINK!EM15</f>
        <v/>
      </c>
      <c r="L17" s="147">
        <f>LINK!BV44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LINK!BV20</f>
        <v/>
      </c>
      <c r="F21" s="67">
        <f>LINK!H49</f>
        <v/>
      </c>
      <c r="G21" s="92">
        <f>LINK!AO49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LINK!EM20</f>
        <v/>
      </c>
      <c r="L21" s="74">
        <f>LINK!BV49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LINK!BV21</f>
        <v/>
      </c>
      <c r="F22" s="73">
        <f>LINK!H50</f>
        <v/>
      </c>
      <c r="G22" s="142">
        <f>LINK!AO50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LINK!EM21</f>
        <v/>
      </c>
      <c r="L22" s="131">
        <f>LINK!BV50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LINK!BV22</f>
        <v/>
      </c>
      <c r="F23" s="73">
        <f>LINK!H51</f>
        <v/>
      </c>
      <c r="G23" s="142">
        <f>LINK!AO51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LINK!EM22</f>
        <v/>
      </c>
      <c r="L23" s="131">
        <f>LINK!BV51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LINK!BV23</f>
        <v/>
      </c>
      <c r="F24" s="73">
        <f>LINK!H52</f>
        <v/>
      </c>
      <c r="G24" s="142">
        <f>LINK!AO52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LINK!EM23</f>
        <v/>
      </c>
      <c r="L24" s="131">
        <f>LINK!BV52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LINK!BV24</f>
        <v/>
      </c>
      <c r="F25" s="73">
        <f>LINK!H53</f>
        <v/>
      </c>
      <c r="G25" s="142">
        <f>LINK!AO53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LINK!EM24</f>
        <v/>
      </c>
      <c r="L25" s="131">
        <f>LINK!BV53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LINK!BV25</f>
        <v/>
      </c>
      <c r="F26" s="73">
        <f>LINK!H54</f>
        <v/>
      </c>
      <c r="G26" s="142">
        <f>LINK!AO54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LINK!EM25</f>
        <v/>
      </c>
      <c r="L26" s="131">
        <f>LINK!BV54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LINK!BV26</f>
        <v/>
      </c>
      <c r="F27" s="151">
        <f>LINK!H55</f>
        <v/>
      </c>
      <c r="G27" s="144">
        <f>LINK!AO55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LINK!EM26</f>
        <v/>
      </c>
      <c r="L27" s="147">
        <f>LINK!BV55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46792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LINK!BW3</f>
        <v/>
      </c>
      <c r="F5" s="136">
        <f>LINK!I32</f>
        <v/>
      </c>
      <c r="G5" s="92">
        <f>LINK!AP32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LINK!EN3</f>
        <v/>
      </c>
      <c r="L5" s="68">
        <f>LINK!BW32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LINK!BW4</f>
        <v/>
      </c>
      <c r="F6" s="138">
        <f>LINK!I33</f>
        <v/>
      </c>
      <c r="G6" s="142">
        <f>LINK!AP33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LINK!EN4</f>
        <v/>
      </c>
      <c r="L6" s="131">
        <f>LINK!BW33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LINK!BW5</f>
        <v/>
      </c>
      <c r="F7" s="138">
        <f>LINK!I34</f>
        <v/>
      </c>
      <c r="G7" s="142">
        <f>LINK!AP34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LINK!EN5</f>
        <v/>
      </c>
      <c r="L7" s="131">
        <f>LINK!BW34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LINK!BW6</f>
        <v/>
      </c>
      <c r="F8" s="138">
        <f>LINK!I35</f>
        <v/>
      </c>
      <c r="G8" s="142">
        <f>LINK!AP35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LINK!EN6</f>
        <v/>
      </c>
      <c r="L8" s="131">
        <f>LINK!BW35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LINK!AP70</f>
        <v/>
      </c>
      <c r="Q8" s="618">
        <f>LINK!BW27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LINK!BW7</f>
        <v/>
      </c>
      <c r="F9" s="138">
        <f>LINK!I36</f>
        <v/>
      </c>
      <c r="G9" s="142">
        <f>LINK!AP36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LINK!EN7</f>
        <v/>
      </c>
      <c r="L9" s="131">
        <f>LINK!BW36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LINK!BW8</f>
        <v/>
      </c>
      <c r="F10" s="138">
        <f>LINK!I37</f>
        <v/>
      </c>
      <c r="G10" s="142">
        <f>LINK!AP37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LINK!EN8</f>
        <v/>
      </c>
      <c r="L10" s="131">
        <f>LINK!BW37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LINK!DG20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LINK!BW9</f>
        <v/>
      </c>
      <c r="F11" s="138">
        <f>LINK!I38</f>
        <v/>
      </c>
      <c r="G11" s="142">
        <f>LINK!AP38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LINK!EN9</f>
        <v/>
      </c>
      <c r="L11" s="131">
        <f>LINK!BW38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LINK!DG21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LINK!BW10</f>
        <v/>
      </c>
      <c r="F12" s="138">
        <f>LINK!I39</f>
        <v/>
      </c>
      <c r="G12" s="142">
        <f>LINK!AP39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LINK!EN10</f>
        <v/>
      </c>
      <c r="L12" s="131">
        <f>LINK!BW39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LINK!DG22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LINK!BW11</f>
        <v/>
      </c>
      <c r="F13" s="138">
        <f>LINK!I40</f>
        <v/>
      </c>
      <c r="G13" s="142">
        <f>LINK!AP40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LINK!EN11</f>
        <v/>
      </c>
      <c r="L13" s="131">
        <f>LINK!BW40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LINK!DG23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LINK!BW12</f>
        <v/>
      </c>
      <c r="F14" s="138">
        <f>LINK!I41</f>
        <v/>
      </c>
      <c r="G14" s="142">
        <f>LINK!AP41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LINK!EN12</f>
        <v/>
      </c>
      <c r="L14" s="131">
        <f>LINK!BW41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LINK!DG24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LINK!BW13</f>
        <v/>
      </c>
      <c r="F15" s="138">
        <f>LINK!I42</f>
        <v/>
      </c>
      <c r="G15" s="142">
        <f>LINK!AP42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LINK!EN13</f>
        <v/>
      </c>
      <c r="L15" s="131">
        <f>LINK!BW42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LINK!DG25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LINK!BW14</f>
        <v/>
      </c>
      <c r="F16" s="138">
        <f>LINK!I43</f>
        <v/>
      </c>
      <c r="G16" s="142">
        <f>LINK!AP43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LINK!EN14</f>
        <v/>
      </c>
      <c r="L16" s="131">
        <f>LINK!BW43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LINK!DG27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LINK!BW15</f>
        <v/>
      </c>
      <c r="F17" s="149">
        <f>LINK!I44</f>
        <v/>
      </c>
      <c r="G17" s="144">
        <f>LINK!AP44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LINK!EN15</f>
        <v/>
      </c>
      <c r="L17" s="147">
        <f>LINK!BW44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LINK!BW20</f>
        <v/>
      </c>
      <c r="F21" s="67">
        <f>LINK!I49</f>
        <v/>
      </c>
      <c r="G21" s="92">
        <f>LINK!AP49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LINK!EN20</f>
        <v/>
      </c>
      <c r="L21" s="74">
        <f>LINK!BW49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LINK!BW21</f>
        <v/>
      </c>
      <c r="F22" s="73">
        <f>LINK!I50</f>
        <v/>
      </c>
      <c r="G22" s="142">
        <f>LINK!AP50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LINK!EN21</f>
        <v/>
      </c>
      <c r="L22" s="131">
        <f>LINK!BW50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LINK!BW22</f>
        <v/>
      </c>
      <c r="F23" s="73">
        <f>LINK!I51</f>
        <v/>
      </c>
      <c r="G23" s="142">
        <f>LINK!AP51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LINK!EN22</f>
        <v/>
      </c>
      <c r="L23" s="131">
        <f>LINK!BW51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LINK!BW23</f>
        <v/>
      </c>
      <c r="F24" s="73">
        <f>LINK!I52</f>
        <v/>
      </c>
      <c r="G24" s="142">
        <f>LINK!AP52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LINK!EN23</f>
        <v/>
      </c>
      <c r="L24" s="131">
        <f>LINK!BW52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LINK!BW24</f>
        <v/>
      </c>
      <c r="F25" s="73">
        <f>LINK!I53</f>
        <v/>
      </c>
      <c r="G25" s="142">
        <f>LINK!AP53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LINK!EN24</f>
        <v/>
      </c>
      <c r="L25" s="131">
        <f>LINK!BW53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LINK!BW25</f>
        <v/>
      </c>
      <c r="F26" s="73">
        <f>LINK!I54</f>
        <v/>
      </c>
      <c r="G26" s="142">
        <f>LINK!AP54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LINK!EN25</f>
        <v/>
      </c>
      <c r="L26" s="131">
        <f>LINK!BW54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LINK!BW26</f>
        <v/>
      </c>
      <c r="F27" s="151">
        <f>LINK!I55</f>
        <v/>
      </c>
      <c r="G27" s="144">
        <f>LINK!AP55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LINK!EN26</f>
        <v/>
      </c>
      <c r="L27" s="147">
        <f>LINK!BW55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46793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LINK!BX3</f>
        <v/>
      </c>
      <c r="F5" s="136">
        <f>LINK!J32</f>
        <v/>
      </c>
      <c r="G5" s="92">
        <f>LINK!AQ32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LINK!EO3</f>
        <v/>
      </c>
      <c r="L5" s="68">
        <f>LINK!BX32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LINK!BX4</f>
        <v/>
      </c>
      <c r="F6" s="138">
        <f>LINK!J33</f>
        <v/>
      </c>
      <c r="G6" s="142">
        <f>LINK!AQ33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LINK!EO4</f>
        <v/>
      </c>
      <c r="L6" s="131">
        <f>LINK!BX33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LINK!BX5</f>
        <v/>
      </c>
      <c r="F7" s="138">
        <f>LINK!J34</f>
        <v/>
      </c>
      <c r="G7" s="142">
        <f>LINK!AQ34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LINK!EO5</f>
        <v/>
      </c>
      <c r="L7" s="131">
        <f>LINK!BX34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LINK!BX6</f>
        <v/>
      </c>
      <c r="F8" s="138">
        <f>LINK!J35</f>
        <v/>
      </c>
      <c r="G8" s="142">
        <f>LINK!AQ35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LINK!EO6</f>
        <v/>
      </c>
      <c r="L8" s="131">
        <f>LINK!BX35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LINK!AQ70</f>
        <v/>
      </c>
      <c r="Q8" s="618">
        <f>LINK!BX27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LINK!BX7</f>
        <v/>
      </c>
      <c r="F9" s="138">
        <f>LINK!J36</f>
        <v/>
      </c>
      <c r="G9" s="142">
        <f>LINK!AQ36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LINK!EO7</f>
        <v/>
      </c>
      <c r="L9" s="131">
        <f>LINK!BX36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LINK!BX8</f>
        <v/>
      </c>
      <c r="F10" s="138">
        <f>LINK!J37</f>
        <v/>
      </c>
      <c r="G10" s="142">
        <f>LINK!AQ37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LINK!EO8</f>
        <v/>
      </c>
      <c r="L10" s="131">
        <f>LINK!BX37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LINK!DH20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LINK!BX9</f>
        <v/>
      </c>
      <c r="F11" s="138">
        <f>LINK!J38</f>
        <v/>
      </c>
      <c r="G11" s="142">
        <f>LINK!AQ38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LINK!EO9</f>
        <v/>
      </c>
      <c r="L11" s="131">
        <f>LINK!BX38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LINK!DH21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LINK!BX10</f>
        <v/>
      </c>
      <c r="F12" s="138">
        <f>LINK!J39</f>
        <v/>
      </c>
      <c r="G12" s="142">
        <f>LINK!AQ39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LINK!EO10</f>
        <v/>
      </c>
      <c r="L12" s="131">
        <f>LINK!BX39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LINK!DH22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LINK!BX11</f>
        <v/>
      </c>
      <c r="F13" s="138">
        <f>LINK!J40</f>
        <v/>
      </c>
      <c r="G13" s="142">
        <f>LINK!AQ40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LINK!EO11</f>
        <v/>
      </c>
      <c r="L13" s="131">
        <f>LINK!BX40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LINK!DH23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LINK!BX12</f>
        <v/>
      </c>
      <c r="F14" s="138">
        <f>LINK!J41</f>
        <v/>
      </c>
      <c r="G14" s="142">
        <f>LINK!AQ41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LINK!EO12</f>
        <v/>
      </c>
      <c r="L14" s="131">
        <f>LINK!BX41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LINK!DH24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LINK!BX13</f>
        <v/>
      </c>
      <c r="F15" s="138">
        <f>LINK!J42</f>
        <v/>
      </c>
      <c r="G15" s="142">
        <f>LINK!AQ42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LINK!EO13</f>
        <v/>
      </c>
      <c r="L15" s="131">
        <f>LINK!BX42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LINK!DH25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LINK!BX14</f>
        <v/>
      </c>
      <c r="F16" s="138">
        <f>LINK!J43</f>
        <v/>
      </c>
      <c r="G16" s="142">
        <f>LINK!AQ43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LINK!EO14</f>
        <v/>
      </c>
      <c r="L16" s="131">
        <f>LINK!BX43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LINK!DH27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LINK!BX15</f>
        <v/>
      </c>
      <c r="F17" s="149">
        <f>LINK!J44</f>
        <v/>
      </c>
      <c r="G17" s="144">
        <f>LINK!AQ44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LINK!EO15</f>
        <v/>
      </c>
      <c r="L17" s="147">
        <f>LINK!BX44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LINK!BX20</f>
        <v/>
      </c>
      <c r="F21" s="67">
        <f>LINK!J49</f>
        <v/>
      </c>
      <c r="G21" s="92">
        <f>LINK!AQ49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LINK!EO20</f>
        <v/>
      </c>
      <c r="L21" s="74">
        <f>LINK!BX49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LINK!BX21</f>
        <v/>
      </c>
      <c r="F22" s="73">
        <f>LINK!J50</f>
        <v/>
      </c>
      <c r="G22" s="142">
        <f>LINK!AQ50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LINK!EO21</f>
        <v/>
      </c>
      <c r="L22" s="131">
        <f>LINK!BX50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LINK!BX22</f>
        <v/>
      </c>
      <c r="F23" s="73">
        <f>LINK!J51</f>
        <v/>
      </c>
      <c r="G23" s="142">
        <f>LINK!AQ51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LINK!EO22</f>
        <v/>
      </c>
      <c r="L23" s="131">
        <f>LINK!BX51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LINK!BX23</f>
        <v/>
      </c>
      <c r="F24" s="73">
        <f>LINK!J52</f>
        <v/>
      </c>
      <c r="G24" s="142">
        <f>LINK!AQ52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LINK!EO23</f>
        <v/>
      </c>
      <c r="L24" s="131">
        <f>LINK!BX52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LINK!BX24</f>
        <v/>
      </c>
      <c r="F25" s="73">
        <f>LINK!J53</f>
        <v/>
      </c>
      <c r="G25" s="142">
        <f>LINK!AQ53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LINK!EO24</f>
        <v/>
      </c>
      <c r="L25" s="131">
        <f>LINK!BX53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LINK!BX25</f>
        <v/>
      </c>
      <c r="F26" s="73">
        <f>LINK!J54</f>
        <v/>
      </c>
      <c r="G26" s="142">
        <f>LINK!AQ54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LINK!EO25</f>
        <v/>
      </c>
      <c r="L26" s="131">
        <f>LINK!BX54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LINK!BX26</f>
        <v/>
      </c>
      <c r="F27" s="151">
        <f>LINK!J55</f>
        <v/>
      </c>
      <c r="G27" s="144">
        <f>LINK!AQ55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LINK!EO26</f>
        <v/>
      </c>
      <c r="L27" s="147">
        <f>LINK!BX55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46794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LINK!BY3</f>
        <v/>
      </c>
      <c r="F5" s="136">
        <f>LINK!K32</f>
        <v/>
      </c>
      <c r="G5" s="92">
        <f>LINK!AR32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LINK!EP3</f>
        <v/>
      </c>
      <c r="L5" s="68">
        <f>LINK!BY32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LINK!BY4</f>
        <v/>
      </c>
      <c r="F6" s="138">
        <f>LINK!K33</f>
        <v/>
      </c>
      <c r="G6" s="142">
        <f>LINK!AR33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LINK!EP4</f>
        <v/>
      </c>
      <c r="L6" s="131">
        <f>LINK!BY33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LINK!BY5</f>
        <v/>
      </c>
      <c r="F7" s="138">
        <f>LINK!K34</f>
        <v/>
      </c>
      <c r="G7" s="142">
        <f>LINK!AR34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LINK!EP5</f>
        <v/>
      </c>
      <c r="L7" s="131">
        <f>LINK!BY34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LINK!BY6</f>
        <v/>
      </c>
      <c r="F8" s="138">
        <f>LINK!K35</f>
        <v/>
      </c>
      <c r="G8" s="142">
        <f>LINK!AR35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LINK!EP6</f>
        <v/>
      </c>
      <c r="L8" s="131">
        <f>LINK!BY35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LINK!AR70</f>
        <v/>
      </c>
      <c r="Q8" s="618">
        <f>LINK!BY27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LINK!BY7</f>
        <v/>
      </c>
      <c r="F9" s="138">
        <f>LINK!K36</f>
        <v/>
      </c>
      <c r="G9" s="142">
        <f>LINK!AR36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LINK!EP7</f>
        <v/>
      </c>
      <c r="L9" s="131">
        <f>LINK!BY36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LINK!BY8</f>
        <v/>
      </c>
      <c r="F10" s="138">
        <f>LINK!K37</f>
        <v/>
      </c>
      <c r="G10" s="142">
        <f>LINK!AR37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LINK!EP8</f>
        <v/>
      </c>
      <c r="L10" s="131">
        <f>LINK!BY37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LINK!DI20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LINK!BY9</f>
        <v/>
      </c>
      <c r="F11" s="138">
        <f>LINK!K38</f>
        <v/>
      </c>
      <c r="G11" s="142">
        <f>LINK!AR38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LINK!EP9</f>
        <v/>
      </c>
      <c r="L11" s="131">
        <f>LINK!BY38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LINK!DI21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LINK!BY10</f>
        <v/>
      </c>
      <c r="F12" s="138">
        <f>LINK!K39</f>
        <v/>
      </c>
      <c r="G12" s="142">
        <f>LINK!AR39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LINK!EP10</f>
        <v/>
      </c>
      <c r="L12" s="131">
        <f>LINK!BY39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LINK!DI22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LINK!BY11</f>
        <v/>
      </c>
      <c r="F13" s="138">
        <f>LINK!K40</f>
        <v/>
      </c>
      <c r="G13" s="142">
        <f>LINK!AR40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LINK!EP11</f>
        <v/>
      </c>
      <c r="L13" s="131">
        <f>LINK!BY40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LINK!DI23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LINK!BY12</f>
        <v/>
      </c>
      <c r="F14" s="138">
        <f>LINK!K41</f>
        <v/>
      </c>
      <c r="G14" s="142">
        <f>LINK!AR41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LINK!EP12</f>
        <v/>
      </c>
      <c r="L14" s="131">
        <f>LINK!BY41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LINK!DI24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LINK!BY13</f>
        <v/>
      </c>
      <c r="F15" s="138">
        <f>LINK!K42</f>
        <v/>
      </c>
      <c r="G15" s="142">
        <f>LINK!AR42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LINK!EP13</f>
        <v/>
      </c>
      <c r="L15" s="131">
        <f>LINK!BY42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LINK!DI25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LINK!BY14</f>
        <v/>
      </c>
      <c r="F16" s="138">
        <f>LINK!K43</f>
        <v/>
      </c>
      <c r="G16" s="142">
        <f>LINK!AR43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LINK!EP14</f>
        <v/>
      </c>
      <c r="L16" s="131">
        <f>LINK!BY43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LINK!DI27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LINK!BY15</f>
        <v/>
      </c>
      <c r="F17" s="149">
        <f>LINK!K44</f>
        <v/>
      </c>
      <c r="G17" s="144">
        <f>LINK!AR44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LINK!EP15</f>
        <v/>
      </c>
      <c r="L17" s="147">
        <f>LINK!BY44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LINK!BY20</f>
        <v/>
      </c>
      <c r="F21" s="67">
        <f>LINK!K49</f>
        <v/>
      </c>
      <c r="G21" s="92">
        <f>LINK!AR49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LINK!EP20</f>
        <v/>
      </c>
      <c r="L21" s="74">
        <f>LINK!BY49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LINK!BY21</f>
        <v/>
      </c>
      <c r="F22" s="73">
        <f>LINK!K50</f>
        <v/>
      </c>
      <c r="G22" s="142">
        <f>LINK!AR50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LINK!EP21</f>
        <v/>
      </c>
      <c r="L22" s="131">
        <f>LINK!BY50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LINK!BY22</f>
        <v/>
      </c>
      <c r="F23" s="73">
        <f>LINK!K51</f>
        <v/>
      </c>
      <c r="G23" s="142">
        <f>LINK!AR51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LINK!EP22</f>
        <v/>
      </c>
      <c r="L23" s="131">
        <f>LINK!BY51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LINK!BY23</f>
        <v/>
      </c>
      <c r="F24" s="73">
        <f>LINK!K52</f>
        <v/>
      </c>
      <c r="G24" s="142">
        <f>LINK!AR52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LINK!EP23</f>
        <v/>
      </c>
      <c r="L24" s="131">
        <f>LINK!BY52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LINK!BY24</f>
        <v/>
      </c>
      <c r="F25" s="73">
        <f>LINK!K53</f>
        <v/>
      </c>
      <c r="G25" s="142">
        <f>LINK!AR53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LINK!EP24</f>
        <v/>
      </c>
      <c r="L25" s="131">
        <f>LINK!BY53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LINK!BY25</f>
        <v/>
      </c>
      <c r="F26" s="73">
        <f>LINK!K54</f>
        <v/>
      </c>
      <c r="G26" s="142">
        <f>LINK!AR54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LINK!EP25</f>
        <v/>
      </c>
      <c r="L26" s="131">
        <f>LINK!BY54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LINK!BY26</f>
        <v/>
      </c>
      <c r="F27" s="151">
        <f>LINK!K55</f>
        <v/>
      </c>
      <c r="G27" s="144">
        <f>LINK!AR55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LINK!EP26</f>
        <v/>
      </c>
      <c r="L27" s="147">
        <f>LINK!BY55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46795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LINK!BZ3</f>
        <v/>
      </c>
      <c r="F5" s="136">
        <f>LINK!L32</f>
        <v/>
      </c>
      <c r="G5" s="92">
        <f>LINK!AS32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LINK!EQ3</f>
        <v/>
      </c>
      <c r="L5" s="68">
        <f>LINK!BZ32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LINK!BZ4</f>
        <v/>
      </c>
      <c r="F6" s="138">
        <f>LINK!L33</f>
        <v/>
      </c>
      <c r="G6" s="142">
        <f>LINK!AS33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LINK!EQ4</f>
        <v/>
      </c>
      <c r="L6" s="131">
        <f>LINK!BZ33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LINK!BZ5</f>
        <v/>
      </c>
      <c r="F7" s="138">
        <f>LINK!L34</f>
        <v/>
      </c>
      <c r="G7" s="142">
        <f>LINK!AS34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LINK!EQ5</f>
        <v/>
      </c>
      <c r="L7" s="131">
        <f>LINK!BZ34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LINK!BZ6</f>
        <v/>
      </c>
      <c r="F8" s="138">
        <f>LINK!L35</f>
        <v/>
      </c>
      <c r="G8" s="142">
        <f>LINK!AS35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LINK!EQ6</f>
        <v/>
      </c>
      <c r="L8" s="131">
        <f>LINK!BZ35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LINK!AS70</f>
        <v/>
      </c>
      <c r="Q8" s="618">
        <f>LINK!BZ27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LINK!BZ7</f>
        <v/>
      </c>
      <c r="F9" s="138">
        <f>LINK!L36</f>
        <v/>
      </c>
      <c r="G9" s="142">
        <f>LINK!AS36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LINK!EQ7</f>
        <v/>
      </c>
      <c r="L9" s="131">
        <f>LINK!BZ36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LINK!BZ8</f>
        <v/>
      </c>
      <c r="F10" s="138">
        <f>LINK!L37</f>
        <v/>
      </c>
      <c r="G10" s="142">
        <f>LINK!AS37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LINK!EQ8</f>
        <v/>
      </c>
      <c r="L10" s="131">
        <f>LINK!BZ37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LINK!DJ20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LINK!BZ9</f>
        <v/>
      </c>
      <c r="F11" s="138">
        <f>LINK!L38</f>
        <v/>
      </c>
      <c r="G11" s="142">
        <f>LINK!AS38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LINK!EQ9</f>
        <v/>
      </c>
      <c r="L11" s="131">
        <f>LINK!BZ38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LINK!DJ21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LINK!BZ10</f>
        <v/>
      </c>
      <c r="F12" s="138">
        <f>LINK!L39</f>
        <v/>
      </c>
      <c r="G12" s="142">
        <f>LINK!AS39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LINK!EQ10</f>
        <v/>
      </c>
      <c r="L12" s="131">
        <f>LINK!BZ39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LINK!DJ22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LINK!BZ11</f>
        <v/>
      </c>
      <c r="F13" s="138">
        <f>LINK!L40</f>
        <v/>
      </c>
      <c r="G13" s="142">
        <f>LINK!AS40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LINK!EQ11</f>
        <v/>
      </c>
      <c r="L13" s="131">
        <f>LINK!BZ40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LINK!DJ23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LINK!BZ12</f>
        <v/>
      </c>
      <c r="F14" s="138">
        <f>LINK!L41</f>
        <v/>
      </c>
      <c r="G14" s="142">
        <f>LINK!AS41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LINK!EQ12</f>
        <v/>
      </c>
      <c r="L14" s="131">
        <f>LINK!BZ41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LINK!DJ24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LINK!BZ13</f>
        <v/>
      </c>
      <c r="F15" s="138">
        <f>LINK!L42</f>
        <v/>
      </c>
      <c r="G15" s="142">
        <f>LINK!AS42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LINK!EQ13</f>
        <v/>
      </c>
      <c r="L15" s="131">
        <f>LINK!BZ42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LINK!DJ25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LINK!BZ14</f>
        <v/>
      </c>
      <c r="F16" s="138">
        <f>LINK!L43</f>
        <v/>
      </c>
      <c r="G16" s="142">
        <f>LINK!AS43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LINK!EQ14</f>
        <v/>
      </c>
      <c r="L16" s="131">
        <f>LINK!BZ43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LINK!DJ27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LINK!BZ15</f>
        <v/>
      </c>
      <c r="F17" s="149">
        <f>LINK!L44</f>
        <v/>
      </c>
      <c r="G17" s="144">
        <f>LINK!AS44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LINK!EQ15</f>
        <v/>
      </c>
      <c r="L17" s="147">
        <f>LINK!BZ44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LINK!BZ20</f>
        <v/>
      </c>
      <c r="F21" s="67">
        <f>LINK!L49</f>
        <v/>
      </c>
      <c r="G21" s="92">
        <f>LINK!AS49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LINK!EQ20</f>
        <v/>
      </c>
      <c r="L21" s="74">
        <f>LINK!BZ49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LINK!BZ21</f>
        <v/>
      </c>
      <c r="F22" s="73">
        <f>LINK!L50</f>
        <v/>
      </c>
      <c r="G22" s="142">
        <f>LINK!AS50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LINK!EQ21</f>
        <v/>
      </c>
      <c r="L22" s="131">
        <f>LINK!BZ50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LINK!BZ22</f>
        <v/>
      </c>
      <c r="F23" s="73">
        <f>LINK!L51</f>
        <v/>
      </c>
      <c r="G23" s="142">
        <f>LINK!AS51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LINK!EQ22</f>
        <v/>
      </c>
      <c r="L23" s="131">
        <f>LINK!BZ51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LINK!BZ23</f>
        <v/>
      </c>
      <c r="F24" s="73">
        <f>LINK!L52</f>
        <v/>
      </c>
      <c r="G24" s="142">
        <f>LINK!AS52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LINK!EQ23</f>
        <v/>
      </c>
      <c r="L24" s="131">
        <f>LINK!BZ52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LINK!BZ24</f>
        <v/>
      </c>
      <c r="F25" s="73">
        <f>LINK!L53</f>
        <v/>
      </c>
      <c r="G25" s="142">
        <f>LINK!AS53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LINK!EQ24</f>
        <v/>
      </c>
      <c r="L25" s="131">
        <f>LINK!BZ53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LINK!BZ25</f>
        <v/>
      </c>
      <c r="F26" s="73">
        <f>LINK!L54</f>
        <v/>
      </c>
      <c r="G26" s="142">
        <f>LINK!AS54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LINK!EQ25</f>
        <v/>
      </c>
      <c r="L26" s="131">
        <f>LINK!BZ54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LINK!BZ26</f>
        <v/>
      </c>
      <c r="F27" s="151">
        <f>LINK!L55</f>
        <v/>
      </c>
      <c r="G27" s="144">
        <f>LINK!AS55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LINK!EQ26</f>
        <v/>
      </c>
      <c r="L27" s="147">
        <f>LINK!BZ55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46796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LINK!CA3</f>
        <v/>
      </c>
      <c r="F5" s="136">
        <f>LINK!M32</f>
        <v/>
      </c>
      <c r="G5" s="92">
        <f>LINK!AT32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LINK!ER3</f>
        <v/>
      </c>
      <c r="L5" s="68">
        <f>LINK!CA32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LINK!CA4</f>
        <v/>
      </c>
      <c r="F6" s="138">
        <f>LINK!M33</f>
        <v/>
      </c>
      <c r="G6" s="142">
        <f>LINK!AT33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LINK!ER4</f>
        <v/>
      </c>
      <c r="L6" s="131">
        <f>LINK!CA33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LINK!CA5</f>
        <v/>
      </c>
      <c r="F7" s="138">
        <f>LINK!M34</f>
        <v/>
      </c>
      <c r="G7" s="142">
        <f>LINK!AT34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LINK!ER5</f>
        <v/>
      </c>
      <c r="L7" s="131">
        <f>LINK!CA34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LINK!CA6</f>
        <v/>
      </c>
      <c r="F8" s="138">
        <f>LINK!M35</f>
        <v/>
      </c>
      <c r="G8" s="142">
        <f>LINK!AT35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LINK!ER6</f>
        <v/>
      </c>
      <c r="L8" s="131">
        <f>LINK!CA35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LINK!AT70</f>
        <v/>
      </c>
      <c r="Q8" s="618">
        <f>LINK!CA27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LINK!CA7</f>
        <v/>
      </c>
      <c r="F9" s="138">
        <f>LINK!M36</f>
        <v/>
      </c>
      <c r="G9" s="142">
        <f>LINK!AT36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LINK!ER7</f>
        <v/>
      </c>
      <c r="L9" s="131">
        <f>LINK!CA36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LINK!CA8</f>
        <v/>
      </c>
      <c r="F10" s="138">
        <f>LINK!M37</f>
        <v/>
      </c>
      <c r="G10" s="142">
        <f>LINK!AT37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LINK!ER8</f>
        <v/>
      </c>
      <c r="L10" s="131">
        <f>LINK!CA37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LINK!DK20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LINK!CA9</f>
        <v/>
      </c>
      <c r="F11" s="138">
        <f>LINK!M38</f>
        <v/>
      </c>
      <c r="G11" s="142">
        <f>LINK!AT38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LINK!ER9</f>
        <v/>
      </c>
      <c r="L11" s="131">
        <f>LINK!CA38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LINK!DK21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LINK!CA10</f>
        <v/>
      </c>
      <c r="F12" s="138">
        <f>LINK!M39</f>
        <v/>
      </c>
      <c r="G12" s="142">
        <f>LINK!AT39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LINK!ER10</f>
        <v/>
      </c>
      <c r="L12" s="131">
        <f>LINK!CA39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LINK!DK22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LINK!CA11</f>
        <v/>
      </c>
      <c r="F13" s="138">
        <f>LINK!M40</f>
        <v/>
      </c>
      <c r="G13" s="142">
        <f>LINK!AT40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LINK!ER11</f>
        <v/>
      </c>
      <c r="L13" s="131">
        <f>LINK!CA40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LINK!DK23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LINK!CA12</f>
        <v/>
      </c>
      <c r="F14" s="138">
        <f>LINK!M41</f>
        <v/>
      </c>
      <c r="G14" s="142">
        <f>LINK!AT41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LINK!ER12</f>
        <v/>
      </c>
      <c r="L14" s="131">
        <f>LINK!CA41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LINK!DK24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LINK!CA13</f>
        <v/>
      </c>
      <c r="F15" s="138">
        <f>LINK!M42</f>
        <v/>
      </c>
      <c r="G15" s="142">
        <f>LINK!AT42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LINK!ER13</f>
        <v/>
      </c>
      <c r="L15" s="131">
        <f>LINK!CA42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LINK!DK25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LINK!CA14</f>
        <v/>
      </c>
      <c r="F16" s="138">
        <f>LINK!M43</f>
        <v/>
      </c>
      <c r="G16" s="142">
        <f>LINK!AT43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LINK!ER14</f>
        <v/>
      </c>
      <c r="L16" s="131">
        <f>LINK!CA43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LINK!DK27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LINK!CA15</f>
        <v/>
      </c>
      <c r="F17" s="149">
        <f>LINK!M44</f>
        <v/>
      </c>
      <c r="G17" s="144">
        <f>LINK!AT44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LINK!ER15</f>
        <v/>
      </c>
      <c r="L17" s="147">
        <f>LINK!CA44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LINK!CA20</f>
        <v/>
      </c>
      <c r="F21" s="67">
        <f>LINK!M49</f>
        <v/>
      </c>
      <c r="G21" s="92">
        <f>LINK!AT49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LINK!ER20</f>
        <v/>
      </c>
      <c r="L21" s="74">
        <f>LINK!CA49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LINK!CA21</f>
        <v/>
      </c>
      <c r="F22" s="73">
        <f>LINK!M50</f>
        <v/>
      </c>
      <c r="G22" s="142">
        <f>LINK!AT50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LINK!ER21</f>
        <v/>
      </c>
      <c r="L22" s="131">
        <f>LINK!CA50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LINK!CA22</f>
        <v/>
      </c>
      <c r="F23" s="73">
        <f>LINK!M51</f>
        <v/>
      </c>
      <c r="G23" s="142">
        <f>LINK!AT51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LINK!ER22</f>
        <v/>
      </c>
      <c r="L23" s="131">
        <f>LINK!CA51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LINK!CA23</f>
        <v/>
      </c>
      <c r="F24" s="73">
        <f>LINK!M52</f>
        <v/>
      </c>
      <c r="G24" s="142">
        <f>LINK!AT52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LINK!ER23</f>
        <v/>
      </c>
      <c r="L24" s="131">
        <f>LINK!CA52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LINK!CA24</f>
        <v/>
      </c>
      <c r="F25" s="73">
        <f>LINK!M53</f>
        <v/>
      </c>
      <c r="G25" s="142">
        <f>LINK!AT53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LINK!ER24</f>
        <v/>
      </c>
      <c r="L25" s="131">
        <f>LINK!CA53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LINK!CA25</f>
        <v/>
      </c>
      <c r="F26" s="73">
        <f>LINK!M54</f>
        <v/>
      </c>
      <c r="G26" s="142">
        <f>LINK!AT54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LINK!ER25</f>
        <v/>
      </c>
      <c r="L26" s="131">
        <f>LINK!CA54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LINK!CA26</f>
        <v/>
      </c>
      <c r="F27" s="151">
        <f>LINK!M55</f>
        <v/>
      </c>
      <c r="G27" s="144">
        <f>LINK!AT55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LINK!ER26</f>
        <v/>
      </c>
      <c r="L27" s="147">
        <f>LINK!CA55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46797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LINK!CB3</f>
        <v/>
      </c>
      <c r="F5" s="136">
        <f>LINK!N32</f>
        <v/>
      </c>
      <c r="G5" s="92">
        <f>LINK!AU32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LINK!ES3</f>
        <v/>
      </c>
      <c r="L5" s="68">
        <f>LINK!CB32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LINK!CB4</f>
        <v/>
      </c>
      <c r="F6" s="138">
        <f>LINK!N33</f>
        <v/>
      </c>
      <c r="G6" s="142">
        <f>LINK!AU33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LINK!ES4</f>
        <v/>
      </c>
      <c r="L6" s="131">
        <f>LINK!CB33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LINK!CB5</f>
        <v/>
      </c>
      <c r="F7" s="138">
        <f>LINK!N34</f>
        <v/>
      </c>
      <c r="G7" s="142">
        <f>LINK!AU34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LINK!ES5</f>
        <v/>
      </c>
      <c r="L7" s="131">
        <f>LINK!CB34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LINK!CB6</f>
        <v/>
      </c>
      <c r="F8" s="138">
        <f>LINK!N35</f>
        <v/>
      </c>
      <c r="G8" s="142">
        <f>LINK!AU35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LINK!ES6</f>
        <v/>
      </c>
      <c r="L8" s="131">
        <f>LINK!CB35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LINK!AU70</f>
        <v/>
      </c>
      <c r="Q8" s="618">
        <f>LINK!CB27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LINK!CB7</f>
        <v/>
      </c>
      <c r="F9" s="138">
        <f>LINK!N36</f>
        <v/>
      </c>
      <c r="G9" s="142">
        <f>LINK!AU36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LINK!ES7</f>
        <v/>
      </c>
      <c r="L9" s="131">
        <f>LINK!CB36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LINK!CB8</f>
        <v/>
      </c>
      <c r="F10" s="138">
        <f>LINK!N37</f>
        <v/>
      </c>
      <c r="G10" s="142">
        <f>LINK!AU37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LINK!ES8</f>
        <v/>
      </c>
      <c r="L10" s="131">
        <f>LINK!CB37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LINK!DL20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LINK!CB9</f>
        <v/>
      </c>
      <c r="F11" s="138">
        <f>LINK!N38</f>
        <v/>
      </c>
      <c r="G11" s="142">
        <f>LINK!AU38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LINK!ES9</f>
        <v/>
      </c>
      <c r="L11" s="131">
        <f>LINK!CB38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LINK!DL21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LINK!CB10</f>
        <v/>
      </c>
      <c r="F12" s="138">
        <f>LINK!N39</f>
        <v/>
      </c>
      <c r="G12" s="142">
        <f>LINK!AU39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LINK!ES10</f>
        <v/>
      </c>
      <c r="L12" s="131">
        <f>LINK!CB39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LINK!DL22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LINK!CB11</f>
        <v/>
      </c>
      <c r="F13" s="138">
        <f>LINK!N40</f>
        <v/>
      </c>
      <c r="G13" s="142">
        <f>LINK!AU40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LINK!ES11</f>
        <v/>
      </c>
      <c r="L13" s="131">
        <f>LINK!CB40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LINK!DL23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LINK!CB12</f>
        <v/>
      </c>
      <c r="F14" s="138">
        <f>LINK!N41</f>
        <v/>
      </c>
      <c r="G14" s="142">
        <f>LINK!AU41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LINK!ES12</f>
        <v/>
      </c>
      <c r="L14" s="131">
        <f>LINK!CB41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LINK!DL24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LINK!CB13</f>
        <v/>
      </c>
      <c r="F15" s="138">
        <f>LINK!N42</f>
        <v/>
      </c>
      <c r="G15" s="142">
        <f>LINK!AU42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LINK!ES13</f>
        <v/>
      </c>
      <c r="L15" s="131">
        <f>LINK!CB42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LINK!DL25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LINK!CB14</f>
        <v/>
      </c>
      <c r="F16" s="138">
        <f>LINK!N43</f>
        <v/>
      </c>
      <c r="G16" s="142">
        <f>LINK!AU43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LINK!ES14</f>
        <v/>
      </c>
      <c r="L16" s="131">
        <f>LINK!CB43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LINK!DL27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LINK!CB15</f>
        <v/>
      </c>
      <c r="F17" s="149">
        <f>LINK!N44</f>
        <v/>
      </c>
      <c r="G17" s="144">
        <f>LINK!AU44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LINK!ES15</f>
        <v/>
      </c>
      <c r="L17" s="147">
        <f>LINK!CB44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LINK!CB20</f>
        <v/>
      </c>
      <c r="F21" s="67">
        <f>LINK!N49</f>
        <v/>
      </c>
      <c r="G21" s="92">
        <f>LINK!AU49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LINK!ES20</f>
        <v/>
      </c>
      <c r="L21" s="74">
        <f>LINK!CB49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LINK!CB21</f>
        <v/>
      </c>
      <c r="F22" s="73">
        <f>LINK!N50</f>
        <v/>
      </c>
      <c r="G22" s="142">
        <f>LINK!AU50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LINK!ES21</f>
        <v/>
      </c>
      <c r="L22" s="131">
        <f>LINK!CB50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LINK!CB22</f>
        <v/>
      </c>
      <c r="F23" s="73">
        <f>LINK!N51</f>
        <v/>
      </c>
      <c r="G23" s="142">
        <f>LINK!AU51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LINK!ES22</f>
        <v/>
      </c>
      <c r="L23" s="131">
        <f>LINK!CB51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LINK!CB23</f>
        <v/>
      </c>
      <c r="F24" s="73">
        <f>LINK!N52</f>
        <v/>
      </c>
      <c r="G24" s="142">
        <f>LINK!AU52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LINK!ES23</f>
        <v/>
      </c>
      <c r="L24" s="131">
        <f>LINK!CB52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LINK!CB24</f>
        <v/>
      </c>
      <c r="F25" s="73">
        <f>LINK!N53</f>
        <v/>
      </c>
      <c r="G25" s="142">
        <f>LINK!AU53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LINK!ES24</f>
        <v/>
      </c>
      <c r="L25" s="131">
        <f>LINK!CB53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LINK!CB25</f>
        <v/>
      </c>
      <c r="F26" s="73">
        <f>LINK!N54</f>
        <v/>
      </c>
      <c r="G26" s="142">
        <f>LINK!AU54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LINK!ES25</f>
        <v/>
      </c>
      <c r="L26" s="131">
        <f>LINK!CB54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LINK!CB26</f>
        <v/>
      </c>
      <c r="F27" s="151">
        <f>LINK!N55</f>
        <v/>
      </c>
      <c r="G27" s="144">
        <f>LINK!AU55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LINK!ES26</f>
        <v/>
      </c>
      <c r="L27" s="147">
        <f>LINK!CB55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46798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LINK!CC3</f>
        <v/>
      </c>
      <c r="F5" s="136">
        <f>LINK!O32</f>
        <v/>
      </c>
      <c r="G5" s="92">
        <f>LINK!AV32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LINK!ET3</f>
        <v/>
      </c>
      <c r="L5" s="68">
        <f>LINK!CC32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LINK!CC4</f>
        <v/>
      </c>
      <c r="F6" s="138">
        <f>LINK!O33</f>
        <v/>
      </c>
      <c r="G6" s="142">
        <f>LINK!AV33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LINK!ET4</f>
        <v/>
      </c>
      <c r="L6" s="131">
        <f>LINK!CC33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LINK!CC5</f>
        <v/>
      </c>
      <c r="F7" s="138">
        <f>LINK!O34</f>
        <v/>
      </c>
      <c r="G7" s="142">
        <f>LINK!AV34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LINK!ET5</f>
        <v/>
      </c>
      <c r="L7" s="131">
        <f>LINK!CC34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LINK!CC6</f>
        <v/>
      </c>
      <c r="F8" s="138">
        <f>LINK!O35</f>
        <v/>
      </c>
      <c r="G8" s="142">
        <f>LINK!AV35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LINK!ET6</f>
        <v/>
      </c>
      <c r="L8" s="131">
        <f>LINK!CC35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LINK!AV70</f>
        <v/>
      </c>
      <c r="Q8" s="618">
        <f>LINK!CC27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LINK!CC7</f>
        <v/>
      </c>
      <c r="F9" s="138">
        <f>LINK!O36</f>
        <v/>
      </c>
      <c r="G9" s="142">
        <f>LINK!AV36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LINK!ET7</f>
        <v/>
      </c>
      <c r="L9" s="131">
        <f>LINK!CC36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LINK!CC8</f>
        <v/>
      </c>
      <c r="F10" s="138">
        <f>LINK!O37</f>
        <v/>
      </c>
      <c r="G10" s="142">
        <f>LINK!AV37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LINK!ET8</f>
        <v/>
      </c>
      <c r="L10" s="131">
        <f>LINK!CC37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LINK!DM20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LINK!CC9</f>
        <v/>
      </c>
      <c r="F11" s="138">
        <f>LINK!O38</f>
        <v/>
      </c>
      <c r="G11" s="142">
        <f>LINK!AV38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LINK!ET9</f>
        <v/>
      </c>
      <c r="L11" s="131">
        <f>LINK!CC38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LINK!DM21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LINK!CC10</f>
        <v/>
      </c>
      <c r="F12" s="138">
        <f>LINK!O39</f>
        <v/>
      </c>
      <c r="G12" s="142">
        <f>LINK!AV39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LINK!ET10</f>
        <v/>
      </c>
      <c r="L12" s="131">
        <f>LINK!CC39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LINK!DM22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LINK!CC11</f>
        <v/>
      </c>
      <c r="F13" s="138">
        <f>LINK!O40</f>
        <v/>
      </c>
      <c r="G13" s="142">
        <f>LINK!AV40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LINK!ET11</f>
        <v/>
      </c>
      <c r="L13" s="131">
        <f>LINK!CC40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LINK!DM23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LINK!CC12</f>
        <v/>
      </c>
      <c r="F14" s="138">
        <f>LINK!O41</f>
        <v/>
      </c>
      <c r="G14" s="142">
        <f>LINK!AV41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LINK!ET12</f>
        <v/>
      </c>
      <c r="L14" s="131">
        <f>LINK!CC41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LINK!DM24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LINK!CC13</f>
        <v/>
      </c>
      <c r="F15" s="138">
        <f>LINK!O42</f>
        <v/>
      </c>
      <c r="G15" s="142">
        <f>LINK!AV42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LINK!ET13</f>
        <v/>
      </c>
      <c r="L15" s="131">
        <f>LINK!CC42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LINK!DM25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LINK!CC14</f>
        <v/>
      </c>
      <c r="F16" s="138">
        <f>LINK!O43</f>
        <v/>
      </c>
      <c r="G16" s="142">
        <f>LINK!AV43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LINK!ET14</f>
        <v/>
      </c>
      <c r="L16" s="131">
        <f>LINK!CC43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LINK!DM27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LINK!CC15</f>
        <v/>
      </c>
      <c r="F17" s="149">
        <f>LINK!O44</f>
        <v/>
      </c>
      <c r="G17" s="144">
        <f>LINK!AV44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LINK!ET15</f>
        <v/>
      </c>
      <c r="L17" s="147">
        <f>LINK!CC44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LINK!CC20</f>
        <v/>
      </c>
      <c r="F21" s="67">
        <f>LINK!O49</f>
        <v/>
      </c>
      <c r="G21" s="92">
        <f>LINK!AV49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LINK!ET20</f>
        <v/>
      </c>
      <c r="L21" s="74">
        <f>LINK!CC49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LINK!CC21</f>
        <v/>
      </c>
      <c r="F22" s="73">
        <f>LINK!O50</f>
        <v/>
      </c>
      <c r="G22" s="142">
        <f>LINK!AV50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LINK!ET21</f>
        <v/>
      </c>
      <c r="L22" s="131">
        <f>LINK!CC50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LINK!CC22</f>
        <v/>
      </c>
      <c r="F23" s="73">
        <f>LINK!O51</f>
        <v/>
      </c>
      <c r="G23" s="142">
        <f>LINK!AV51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LINK!ET22</f>
        <v/>
      </c>
      <c r="L23" s="131">
        <f>LINK!CC51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LINK!CC23</f>
        <v/>
      </c>
      <c r="F24" s="73">
        <f>LINK!O52</f>
        <v/>
      </c>
      <c r="G24" s="142">
        <f>LINK!AV52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LINK!ET23</f>
        <v/>
      </c>
      <c r="L24" s="131">
        <f>LINK!CC52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LINK!CC24</f>
        <v/>
      </c>
      <c r="F25" s="73">
        <f>LINK!O53</f>
        <v/>
      </c>
      <c r="G25" s="142">
        <f>LINK!AV53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LINK!ET24</f>
        <v/>
      </c>
      <c r="L25" s="131">
        <f>LINK!CC53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LINK!CC25</f>
        <v/>
      </c>
      <c r="F26" s="73">
        <f>LINK!O54</f>
        <v/>
      </c>
      <c r="G26" s="142">
        <f>LINK!AV54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LINK!ET25</f>
        <v/>
      </c>
      <c r="L26" s="131">
        <f>LINK!CC54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LINK!CC26</f>
        <v/>
      </c>
      <c r="F27" s="151">
        <f>LINK!O55</f>
        <v/>
      </c>
      <c r="G27" s="144">
        <f>LINK!AV55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LINK!ET26</f>
        <v/>
      </c>
      <c r="L27" s="147">
        <f>LINK!CC55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46799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LINK!CD3</f>
        <v/>
      </c>
      <c r="F5" s="136">
        <f>LINK!P32</f>
        <v/>
      </c>
      <c r="G5" s="92">
        <f>LINK!AW32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LINK!EU3</f>
        <v/>
      </c>
      <c r="L5" s="68">
        <f>LINK!CD32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LINK!CD4</f>
        <v/>
      </c>
      <c r="F6" s="138">
        <f>LINK!P33</f>
        <v/>
      </c>
      <c r="G6" s="142">
        <f>LINK!AW33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LINK!EU4</f>
        <v/>
      </c>
      <c r="L6" s="131">
        <f>LINK!CD33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LINK!CD5</f>
        <v/>
      </c>
      <c r="F7" s="138">
        <f>LINK!P34</f>
        <v/>
      </c>
      <c r="G7" s="142">
        <f>LINK!AW34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LINK!EU5</f>
        <v/>
      </c>
      <c r="L7" s="131">
        <f>LINK!CD34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LINK!CD6</f>
        <v/>
      </c>
      <c r="F8" s="138">
        <f>LINK!P35</f>
        <v/>
      </c>
      <c r="G8" s="142">
        <f>LINK!AW35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LINK!EU6</f>
        <v/>
      </c>
      <c r="L8" s="131">
        <f>LINK!CD35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LINK!AW70</f>
        <v/>
      </c>
      <c r="Q8" s="618">
        <f>LINK!CD27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LINK!CD7</f>
        <v/>
      </c>
      <c r="F9" s="138">
        <f>LINK!P36</f>
        <v/>
      </c>
      <c r="G9" s="142">
        <f>LINK!AW36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LINK!EU7</f>
        <v/>
      </c>
      <c r="L9" s="131">
        <f>LINK!CD36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LINK!CD8</f>
        <v/>
      </c>
      <c r="F10" s="138">
        <f>LINK!P37</f>
        <v/>
      </c>
      <c r="G10" s="142">
        <f>LINK!AW37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LINK!EU8</f>
        <v/>
      </c>
      <c r="L10" s="131">
        <f>LINK!CD37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LINK!DN20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LINK!CD9</f>
        <v/>
      </c>
      <c r="F11" s="138">
        <f>LINK!P38</f>
        <v/>
      </c>
      <c r="G11" s="142">
        <f>LINK!AW38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LINK!EU9</f>
        <v/>
      </c>
      <c r="L11" s="131">
        <f>LINK!CD38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LINK!DN21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LINK!CD10</f>
        <v/>
      </c>
      <c r="F12" s="138">
        <f>LINK!P39</f>
        <v/>
      </c>
      <c r="G12" s="142">
        <f>LINK!AW39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LINK!EU10</f>
        <v/>
      </c>
      <c r="L12" s="131">
        <f>LINK!CD39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LINK!DN22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LINK!CD11</f>
        <v/>
      </c>
      <c r="F13" s="138">
        <f>LINK!P40</f>
        <v/>
      </c>
      <c r="G13" s="142">
        <f>LINK!AW40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LINK!EU11</f>
        <v/>
      </c>
      <c r="L13" s="131">
        <f>LINK!CD40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LINK!DN23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LINK!CD12</f>
        <v/>
      </c>
      <c r="F14" s="138">
        <f>LINK!P41</f>
        <v/>
      </c>
      <c r="G14" s="142">
        <f>LINK!AW41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LINK!EU12</f>
        <v/>
      </c>
      <c r="L14" s="131">
        <f>LINK!CD41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LINK!DN24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LINK!CD13</f>
        <v/>
      </c>
      <c r="F15" s="138">
        <f>LINK!P42</f>
        <v/>
      </c>
      <c r="G15" s="142">
        <f>LINK!AW42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LINK!EU13</f>
        <v/>
      </c>
      <c r="L15" s="131">
        <f>LINK!CD42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LINK!DN25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LINK!CD14</f>
        <v/>
      </c>
      <c r="F16" s="138">
        <f>LINK!P43</f>
        <v/>
      </c>
      <c r="G16" s="142">
        <f>LINK!AW43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LINK!EU14</f>
        <v/>
      </c>
      <c r="L16" s="131">
        <f>LINK!CD43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LINK!DN27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LINK!CD15</f>
        <v/>
      </c>
      <c r="F17" s="149">
        <f>LINK!P44</f>
        <v/>
      </c>
      <c r="G17" s="144">
        <f>LINK!AW44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LINK!EU15</f>
        <v/>
      </c>
      <c r="L17" s="147">
        <f>LINK!CD44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LINK!CD20</f>
        <v/>
      </c>
      <c r="F21" s="67">
        <f>LINK!P49</f>
        <v/>
      </c>
      <c r="G21" s="92">
        <f>LINK!AW49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LINK!EU20</f>
        <v/>
      </c>
      <c r="L21" s="74">
        <f>LINK!CD49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LINK!CD21</f>
        <v/>
      </c>
      <c r="F22" s="73">
        <f>LINK!P50</f>
        <v/>
      </c>
      <c r="G22" s="142">
        <f>LINK!AW50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LINK!EU21</f>
        <v/>
      </c>
      <c r="L22" s="131">
        <f>LINK!CD50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LINK!CD22</f>
        <v/>
      </c>
      <c r="F23" s="73">
        <f>LINK!P51</f>
        <v/>
      </c>
      <c r="G23" s="142">
        <f>LINK!AW51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LINK!EU22</f>
        <v/>
      </c>
      <c r="L23" s="131">
        <f>LINK!CD51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LINK!CD23</f>
        <v/>
      </c>
      <c r="F24" s="73">
        <f>LINK!P52</f>
        <v/>
      </c>
      <c r="G24" s="142">
        <f>LINK!AW52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LINK!EU23</f>
        <v/>
      </c>
      <c r="L24" s="131">
        <f>LINK!CD52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LINK!CD24</f>
        <v/>
      </c>
      <c r="F25" s="73">
        <f>LINK!P53</f>
        <v/>
      </c>
      <c r="G25" s="142">
        <f>LINK!AW53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LINK!EU24</f>
        <v/>
      </c>
      <c r="L25" s="131">
        <f>LINK!CD53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LINK!CD25</f>
        <v/>
      </c>
      <c r="F26" s="73">
        <f>LINK!P54</f>
        <v/>
      </c>
      <c r="G26" s="142">
        <f>LINK!AW54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LINK!EU25</f>
        <v/>
      </c>
      <c r="L26" s="131">
        <f>LINK!CD54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LINK!CD26</f>
        <v/>
      </c>
      <c r="F27" s="151">
        <f>LINK!P55</f>
        <v/>
      </c>
      <c r="G27" s="144">
        <f>LINK!AW55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LINK!EU26</f>
        <v/>
      </c>
      <c r="L27" s="147">
        <f>LINK!CD55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46800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LINK!CE3</f>
        <v/>
      </c>
      <c r="F5" s="136">
        <f>LINK!Q32</f>
        <v/>
      </c>
      <c r="G5" s="92">
        <f>LINK!AX32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LINK!EV3</f>
        <v/>
      </c>
      <c r="L5" s="68">
        <f>LINK!CE32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LINK!CE4</f>
        <v/>
      </c>
      <c r="F6" s="138">
        <f>LINK!Q33</f>
        <v/>
      </c>
      <c r="G6" s="142">
        <f>LINK!AX33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LINK!EV4</f>
        <v/>
      </c>
      <c r="L6" s="131">
        <f>LINK!CE33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LINK!CE5</f>
        <v/>
      </c>
      <c r="F7" s="138">
        <f>LINK!Q34</f>
        <v/>
      </c>
      <c r="G7" s="142">
        <f>LINK!AX34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LINK!EV5</f>
        <v/>
      </c>
      <c r="L7" s="131">
        <f>LINK!CE34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LINK!CE6</f>
        <v/>
      </c>
      <c r="F8" s="138">
        <f>LINK!Q35</f>
        <v/>
      </c>
      <c r="G8" s="142">
        <f>LINK!AX35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LINK!EV6</f>
        <v/>
      </c>
      <c r="L8" s="131">
        <f>LINK!CE35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LINK!AX70</f>
        <v/>
      </c>
      <c r="Q8" s="618">
        <f>LINK!CE27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LINK!CE7</f>
        <v/>
      </c>
      <c r="F9" s="138">
        <f>LINK!Q36</f>
        <v/>
      </c>
      <c r="G9" s="142">
        <f>LINK!AX36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LINK!EV7</f>
        <v/>
      </c>
      <c r="L9" s="131">
        <f>LINK!CE36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LINK!CE8</f>
        <v/>
      </c>
      <c r="F10" s="138">
        <f>LINK!Q37</f>
        <v/>
      </c>
      <c r="G10" s="142">
        <f>LINK!AX37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LINK!EV8</f>
        <v/>
      </c>
      <c r="L10" s="131">
        <f>LINK!CE37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LINK!DO20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LINK!CE9</f>
        <v/>
      </c>
      <c r="F11" s="138">
        <f>LINK!Q38</f>
        <v/>
      </c>
      <c r="G11" s="142">
        <f>LINK!AX38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LINK!EV9</f>
        <v/>
      </c>
      <c r="L11" s="131">
        <f>LINK!CE38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LINK!DO21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LINK!CE10</f>
        <v/>
      </c>
      <c r="F12" s="138">
        <f>LINK!Q39</f>
        <v/>
      </c>
      <c r="G12" s="142">
        <f>LINK!AX39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LINK!EV10</f>
        <v/>
      </c>
      <c r="L12" s="131">
        <f>LINK!CE39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LINK!DO22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LINK!CE11</f>
        <v/>
      </c>
      <c r="F13" s="138">
        <f>LINK!Q40</f>
        <v/>
      </c>
      <c r="G13" s="142">
        <f>LINK!AX40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LINK!EV11</f>
        <v/>
      </c>
      <c r="L13" s="131">
        <f>LINK!CE40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LINK!DO23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LINK!CE12</f>
        <v/>
      </c>
      <c r="F14" s="138">
        <f>LINK!Q41</f>
        <v/>
      </c>
      <c r="G14" s="142">
        <f>LINK!AX41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LINK!EV12</f>
        <v/>
      </c>
      <c r="L14" s="131">
        <f>LINK!CE41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LINK!DO24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LINK!CE13</f>
        <v/>
      </c>
      <c r="F15" s="138">
        <f>LINK!Q42</f>
        <v/>
      </c>
      <c r="G15" s="142">
        <f>LINK!AX42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LINK!EV13</f>
        <v/>
      </c>
      <c r="L15" s="131">
        <f>LINK!CE42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LINK!DO25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LINK!CE14</f>
        <v/>
      </c>
      <c r="F16" s="138">
        <f>LINK!Q43</f>
        <v/>
      </c>
      <c r="G16" s="142">
        <f>LINK!AX43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LINK!EV14</f>
        <v/>
      </c>
      <c r="L16" s="131">
        <f>LINK!CE43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LINK!DO27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LINK!CE15</f>
        <v/>
      </c>
      <c r="F17" s="149">
        <f>LINK!Q44</f>
        <v/>
      </c>
      <c r="G17" s="144">
        <f>LINK!AX44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LINK!EV15</f>
        <v/>
      </c>
      <c r="L17" s="147">
        <f>LINK!CE44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LINK!CE20</f>
        <v/>
      </c>
      <c r="F21" s="67">
        <f>LINK!Q49</f>
        <v/>
      </c>
      <c r="G21" s="92">
        <f>LINK!AX49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LINK!EV20</f>
        <v/>
      </c>
      <c r="L21" s="74">
        <f>LINK!CE49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LINK!CE21</f>
        <v/>
      </c>
      <c r="F22" s="73">
        <f>LINK!Q50</f>
        <v/>
      </c>
      <c r="G22" s="142">
        <f>LINK!AX50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LINK!EV21</f>
        <v/>
      </c>
      <c r="L22" s="131">
        <f>LINK!CE50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LINK!CE22</f>
        <v/>
      </c>
      <c r="F23" s="73">
        <f>LINK!Q51</f>
        <v/>
      </c>
      <c r="G23" s="142">
        <f>LINK!AX51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LINK!EV22</f>
        <v/>
      </c>
      <c r="L23" s="131">
        <f>LINK!CE51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LINK!CE23</f>
        <v/>
      </c>
      <c r="F24" s="73">
        <f>LINK!Q52</f>
        <v/>
      </c>
      <c r="G24" s="142">
        <f>LINK!AX52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LINK!EV23</f>
        <v/>
      </c>
      <c r="L24" s="131">
        <f>LINK!CE52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LINK!CE24</f>
        <v/>
      </c>
      <c r="F25" s="73">
        <f>LINK!Q53</f>
        <v/>
      </c>
      <c r="G25" s="142">
        <f>LINK!AX53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LINK!EV24</f>
        <v/>
      </c>
      <c r="L25" s="131">
        <f>LINK!CE53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LINK!CE25</f>
        <v/>
      </c>
      <c r="F26" s="73">
        <f>LINK!Q54</f>
        <v/>
      </c>
      <c r="G26" s="142">
        <f>LINK!AX54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LINK!EV25</f>
        <v/>
      </c>
      <c r="L26" s="131">
        <f>LINK!CE54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LINK!CE26</f>
        <v/>
      </c>
      <c r="F27" s="151">
        <f>LINK!Q55</f>
        <v/>
      </c>
      <c r="G27" s="144">
        <f>LINK!AX55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LINK!EV26</f>
        <v/>
      </c>
      <c r="L27" s="147">
        <f>LINK!CE55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46801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LINK!CF3</f>
        <v/>
      </c>
      <c r="F5" s="136">
        <f>LINK!R32</f>
        <v/>
      </c>
      <c r="G5" s="92">
        <f>LINK!AY32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LINK!EW3</f>
        <v/>
      </c>
      <c r="L5" s="68">
        <f>LINK!CF32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LINK!CF4</f>
        <v/>
      </c>
      <c r="F6" s="138">
        <f>LINK!R33</f>
        <v/>
      </c>
      <c r="G6" s="142">
        <f>LINK!AY33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LINK!EW4</f>
        <v/>
      </c>
      <c r="L6" s="131">
        <f>LINK!CF33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LINK!CF5</f>
        <v/>
      </c>
      <c r="F7" s="138">
        <f>LINK!R34</f>
        <v/>
      </c>
      <c r="G7" s="142">
        <f>LINK!AY34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LINK!EW5</f>
        <v/>
      </c>
      <c r="L7" s="131">
        <f>LINK!CF34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LINK!CF6</f>
        <v/>
      </c>
      <c r="F8" s="138">
        <f>LINK!R35</f>
        <v/>
      </c>
      <c r="G8" s="142">
        <f>LINK!AY35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LINK!EW6</f>
        <v/>
      </c>
      <c r="L8" s="131">
        <f>LINK!CF35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LINK!AY70</f>
        <v/>
      </c>
      <c r="Q8" s="618">
        <f>LINK!CF27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LINK!CF7</f>
        <v/>
      </c>
      <c r="F9" s="138">
        <f>LINK!R36</f>
        <v/>
      </c>
      <c r="G9" s="142">
        <f>LINK!AY36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LINK!EW7</f>
        <v/>
      </c>
      <c r="L9" s="131">
        <f>LINK!CF36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LINK!CF8</f>
        <v/>
      </c>
      <c r="F10" s="138">
        <f>LINK!R37</f>
        <v/>
      </c>
      <c r="G10" s="142">
        <f>LINK!AY37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LINK!EW8</f>
        <v/>
      </c>
      <c r="L10" s="131">
        <f>LINK!CF37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LINK!DP20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LINK!CF9</f>
        <v/>
      </c>
      <c r="F11" s="138">
        <f>LINK!R38</f>
        <v/>
      </c>
      <c r="G11" s="142">
        <f>LINK!AY38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LINK!EW9</f>
        <v/>
      </c>
      <c r="L11" s="131">
        <f>LINK!CF38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LINK!DP21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LINK!CF10</f>
        <v/>
      </c>
      <c r="F12" s="138">
        <f>LINK!R39</f>
        <v/>
      </c>
      <c r="G12" s="142">
        <f>LINK!AY39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LINK!EW10</f>
        <v/>
      </c>
      <c r="L12" s="131">
        <f>LINK!CF39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LINK!DP22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LINK!CF11</f>
        <v/>
      </c>
      <c r="F13" s="138">
        <f>LINK!R40</f>
        <v/>
      </c>
      <c r="G13" s="142">
        <f>LINK!AY40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LINK!EW11</f>
        <v/>
      </c>
      <c r="L13" s="131">
        <f>LINK!CF40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LINK!DP23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LINK!CF12</f>
        <v/>
      </c>
      <c r="F14" s="138">
        <f>LINK!R41</f>
        <v/>
      </c>
      <c r="G14" s="142">
        <f>LINK!AY41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LINK!EW12</f>
        <v/>
      </c>
      <c r="L14" s="131">
        <f>LINK!CF41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LINK!DP24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LINK!CF13</f>
        <v/>
      </c>
      <c r="F15" s="138">
        <f>LINK!R42</f>
        <v/>
      </c>
      <c r="G15" s="142">
        <f>LINK!AY42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LINK!EW13</f>
        <v/>
      </c>
      <c r="L15" s="131">
        <f>LINK!CF42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LINK!DP25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LINK!CF14</f>
        <v/>
      </c>
      <c r="F16" s="138">
        <f>LINK!R43</f>
        <v/>
      </c>
      <c r="G16" s="142">
        <f>LINK!AY43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LINK!EW14</f>
        <v/>
      </c>
      <c r="L16" s="131">
        <f>LINK!CF43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LINK!DP27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LINK!CF15</f>
        <v/>
      </c>
      <c r="F17" s="149">
        <f>LINK!R44</f>
        <v/>
      </c>
      <c r="G17" s="144">
        <f>LINK!AY44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LINK!EW15</f>
        <v/>
      </c>
      <c r="L17" s="147">
        <f>LINK!CF44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LINK!CF20</f>
        <v/>
      </c>
      <c r="F21" s="67">
        <f>LINK!R49</f>
        <v/>
      </c>
      <c r="G21" s="92">
        <f>LINK!AY49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LINK!EW20</f>
        <v/>
      </c>
      <c r="L21" s="74">
        <f>LINK!CF49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LINK!CF21</f>
        <v/>
      </c>
      <c r="F22" s="73">
        <f>LINK!R50</f>
        <v/>
      </c>
      <c r="G22" s="142">
        <f>LINK!AY50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LINK!EW21</f>
        <v/>
      </c>
      <c r="L22" s="131">
        <f>LINK!CF50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LINK!CF22</f>
        <v/>
      </c>
      <c r="F23" s="73">
        <f>LINK!R51</f>
        <v/>
      </c>
      <c r="G23" s="142">
        <f>LINK!AY51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LINK!EW22</f>
        <v/>
      </c>
      <c r="L23" s="131">
        <f>LINK!CF51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LINK!CF23</f>
        <v/>
      </c>
      <c r="F24" s="73">
        <f>LINK!R52</f>
        <v/>
      </c>
      <c r="G24" s="142">
        <f>LINK!AY52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LINK!EW23</f>
        <v/>
      </c>
      <c r="L24" s="131">
        <f>LINK!CF52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LINK!CF24</f>
        <v/>
      </c>
      <c r="F25" s="73">
        <f>LINK!R53</f>
        <v/>
      </c>
      <c r="G25" s="142">
        <f>LINK!AY53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LINK!EW24</f>
        <v/>
      </c>
      <c r="L25" s="131">
        <f>LINK!CF53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LINK!CF25</f>
        <v/>
      </c>
      <c r="F26" s="73">
        <f>LINK!R54</f>
        <v/>
      </c>
      <c r="G26" s="142">
        <f>LINK!AY54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LINK!EW25</f>
        <v/>
      </c>
      <c r="L26" s="131">
        <f>LINK!CF54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LINK!CF26</f>
        <v/>
      </c>
      <c r="F27" s="151">
        <f>LINK!R55</f>
        <v/>
      </c>
      <c r="G27" s="144">
        <f>LINK!AY55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LINK!EW26</f>
        <v/>
      </c>
      <c r="L27" s="147">
        <f>LINK!CF55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46802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LINK!CG3</f>
        <v/>
      </c>
      <c r="F5" s="136">
        <f>LINK!S32</f>
        <v/>
      </c>
      <c r="G5" s="92">
        <f>LINK!AZ32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LINK!EX3</f>
        <v/>
      </c>
      <c r="L5" s="68">
        <f>LINK!CG32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LINK!CG4</f>
        <v/>
      </c>
      <c r="F6" s="138">
        <f>LINK!S33</f>
        <v/>
      </c>
      <c r="G6" s="142">
        <f>LINK!AZ33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LINK!EX4</f>
        <v/>
      </c>
      <c r="L6" s="131">
        <f>LINK!CG33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LINK!CG5</f>
        <v/>
      </c>
      <c r="F7" s="138">
        <f>LINK!S34</f>
        <v/>
      </c>
      <c r="G7" s="142">
        <f>LINK!AZ34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LINK!EX5</f>
        <v/>
      </c>
      <c r="L7" s="131">
        <f>LINK!CG34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LINK!CG6</f>
        <v/>
      </c>
      <c r="F8" s="138">
        <f>LINK!S35</f>
        <v/>
      </c>
      <c r="G8" s="142">
        <f>LINK!AZ35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LINK!EX6</f>
        <v/>
      </c>
      <c r="L8" s="131">
        <f>LINK!CG35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LINK!AZ70</f>
        <v/>
      </c>
      <c r="Q8" s="618">
        <f>LINK!CG27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LINK!CG7</f>
        <v/>
      </c>
      <c r="F9" s="138">
        <f>LINK!S36</f>
        <v/>
      </c>
      <c r="G9" s="142">
        <f>LINK!AZ36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LINK!EX7</f>
        <v/>
      </c>
      <c r="L9" s="131">
        <f>LINK!CG36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LINK!CG8</f>
        <v/>
      </c>
      <c r="F10" s="138">
        <f>LINK!S37</f>
        <v/>
      </c>
      <c r="G10" s="142">
        <f>LINK!AZ37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LINK!EX8</f>
        <v/>
      </c>
      <c r="L10" s="131">
        <f>LINK!CG37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LINK!DQ20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LINK!CG9</f>
        <v/>
      </c>
      <c r="F11" s="138">
        <f>LINK!S38</f>
        <v/>
      </c>
      <c r="G11" s="142">
        <f>LINK!AZ38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LINK!EX9</f>
        <v/>
      </c>
      <c r="L11" s="131">
        <f>LINK!CG38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LINK!DQ21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LINK!CG10</f>
        <v/>
      </c>
      <c r="F12" s="138">
        <f>LINK!S39</f>
        <v/>
      </c>
      <c r="G12" s="142">
        <f>LINK!AZ39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LINK!EX10</f>
        <v/>
      </c>
      <c r="L12" s="131">
        <f>LINK!CG39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LINK!DQ22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LINK!CG11</f>
        <v/>
      </c>
      <c r="F13" s="138">
        <f>LINK!S40</f>
        <v/>
      </c>
      <c r="G13" s="142">
        <f>LINK!AZ40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LINK!EX11</f>
        <v/>
      </c>
      <c r="L13" s="131">
        <f>LINK!CG40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LINK!DQ23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LINK!CG12</f>
        <v/>
      </c>
      <c r="F14" s="138">
        <f>LINK!S41</f>
        <v/>
      </c>
      <c r="G14" s="142">
        <f>LINK!AZ41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LINK!EX12</f>
        <v/>
      </c>
      <c r="L14" s="131">
        <f>LINK!CG41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LINK!DQ24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LINK!CG13</f>
        <v/>
      </c>
      <c r="F15" s="138">
        <f>LINK!S42</f>
        <v/>
      </c>
      <c r="G15" s="142">
        <f>LINK!AZ42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LINK!EX13</f>
        <v/>
      </c>
      <c r="L15" s="131">
        <f>LINK!CG42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LINK!DQ25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LINK!CG14</f>
        <v/>
      </c>
      <c r="F16" s="138">
        <f>LINK!S43</f>
        <v/>
      </c>
      <c r="G16" s="142">
        <f>LINK!AZ43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LINK!EX14</f>
        <v/>
      </c>
      <c r="L16" s="131">
        <f>LINK!CG43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LINK!DQ27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LINK!CG15</f>
        <v/>
      </c>
      <c r="F17" s="149">
        <f>LINK!S44</f>
        <v/>
      </c>
      <c r="G17" s="144">
        <f>LINK!AZ44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LINK!EX15</f>
        <v/>
      </c>
      <c r="L17" s="147">
        <f>LINK!CG44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LINK!CG20</f>
        <v/>
      </c>
      <c r="F21" s="67">
        <f>LINK!S49</f>
        <v/>
      </c>
      <c r="G21" s="92">
        <f>LINK!AZ49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LINK!EX20</f>
        <v/>
      </c>
      <c r="L21" s="74">
        <f>LINK!CG49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LINK!CG21</f>
        <v/>
      </c>
      <c r="F22" s="73">
        <f>LINK!S50</f>
        <v/>
      </c>
      <c r="G22" s="142">
        <f>LINK!AZ50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LINK!EX21</f>
        <v/>
      </c>
      <c r="L22" s="131">
        <f>LINK!CG50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LINK!CG22</f>
        <v/>
      </c>
      <c r="F23" s="73">
        <f>LINK!S51</f>
        <v/>
      </c>
      <c r="G23" s="142">
        <f>LINK!AZ51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LINK!EX22</f>
        <v/>
      </c>
      <c r="L23" s="131">
        <f>LINK!CG51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LINK!CG23</f>
        <v/>
      </c>
      <c r="F24" s="73">
        <f>LINK!S52</f>
        <v/>
      </c>
      <c r="G24" s="142">
        <f>LINK!AZ52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LINK!EX23</f>
        <v/>
      </c>
      <c r="L24" s="131">
        <f>LINK!CG52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LINK!CG24</f>
        <v/>
      </c>
      <c r="F25" s="73">
        <f>LINK!S53</f>
        <v/>
      </c>
      <c r="G25" s="142">
        <f>LINK!AZ53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LINK!EX24</f>
        <v/>
      </c>
      <c r="L25" s="131">
        <f>LINK!CG53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LINK!CG25</f>
        <v/>
      </c>
      <c r="F26" s="73">
        <f>LINK!S54</f>
        <v/>
      </c>
      <c r="G26" s="142">
        <f>LINK!AZ54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LINK!EX25</f>
        <v/>
      </c>
      <c r="L26" s="131">
        <f>LINK!CG54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LINK!CG26</f>
        <v/>
      </c>
      <c r="F27" s="151">
        <f>LINK!S55</f>
        <v/>
      </c>
      <c r="G27" s="144">
        <f>LINK!AZ55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LINK!EX26</f>
        <v/>
      </c>
      <c r="L27" s="147">
        <f>LINK!CG55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46803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LINK!CH3</f>
        <v/>
      </c>
      <c r="F5" s="136">
        <f>LINK!T32</f>
        <v/>
      </c>
      <c r="G5" s="92">
        <f>LINK!BA32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LINK!EY3</f>
        <v/>
      </c>
      <c r="L5" s="68">
        <f>LINK!CH32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LINK!CH4</f>
        <v/>
      </c>
      <c r="F6" s="138">
        <f>LINK!T33</f>
        <v/>
      </c>
      <c r="G6" s="142">
        <f>LINK!BA33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LINK!EY4</f>
        <v/>
      </c>
      <c r="L6" s="131">
        <f>LINK!CH33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LINK!CH5</f>
        <v/>
      </c>
      <c r="F7" s="138">
        <f>LINK!T34</f>
        <v/>
      </c>
      <c r="G7" s="142">
        <f>LINK!BA34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LINK!EY5</f>
        <v/>
      </c>
      <c r="L7" s="131">
        <f>LINK!CH34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LINK!CH6</f>
        <v/>
      </c>
      <c r="F8" s="138">
        <f>LINK!T35</f>
        <v/>
      </c>
      <c r="G8" s="142">
        <f>LINK!BA35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LINK!EY6</f>
        <v/>
      </c>
      <c r="L8" s="131">
        <f>LINK!CH35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LINK!BA70</f>
        <v/>
      </c>
      <c r="Q8" s="618">
        <f>LINK!CH27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LINK!CH7</f>
        <v/>
      </c>
      <c r="F9" s="138">
        <f>LINK!T36</f>
        <v/>
      </c>
      <c r="G9" s="142">
        <f>LINK!BA36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LINK!EY7</f>
        <v/>
      </c>
      <c r="L9" s="131">
        <f>LINK!CH36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LINK!CH8</f>
        <v/>
      </c>
      <c r="F10" s="138">
        <f>LINK!T37</f>
        <v/>
      </c>
      <c r="G10" s="142">
        <f>LINK!BA37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LINK!EY8</f>
        <v/>
      </c>
      <c r="L10" s="131">
        <f>LINK!CH37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LINK!DR20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LINK!CH9</f>
        <v/>
      </c>
      <c r="F11" s="138">
        <f>LINK!T38</f>
        <v/>
      </c>
      <c r="G11" s="142">
        <f>LINK!BA38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LINK!EY9</f>
        <v/>
      </c>
      <c r="L11" s="131">
        <f>LINK!CH38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LINK!DR21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LINK!CH10</f>
        <v/>
      </c>
      <c r="F12" s="138">
        <f>LINK!T39</f>
        <v/>
      </c>
      <c r="G12" s="142">
        <f>LINK!BA39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LINK!EY10</f>
        <v/>
      </c>
      <c r="L12" s="131">
        <f>LINK!CH39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LINK!DR22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LINK!CH11</f>
        <v/>
      </c>
      <c r="F13" s="138">
        <f>LINK!T40</f>
        <v/>
      </c>
      <c r="G13" s="142">
        <f>LINK!BA40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LINK!EY11</f>
        <v/>
      </c>
      <c r="L13" s="131">
        <f>LINK!CH40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LINK!DR23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LINK!CH12</f>
        <v/>
      </c>
      <c r="F14" s="138">
        <f>LINK!T41</f>
        <v/>
      </c>
      <c r="G14" s="142">
        <f>LINK!BA41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LINK!EY12</f>
        <v/>
      </c>
      <c r="L14" s="131">
        <f>LINK!CH41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LINK!DR24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LINK!CH13</f>
        <v/>
      </c>
      <c r="F15" s="138">
        <f>LINK!T42</f>
        <v/>
      </c>
      <c r="G15" s="142">
        <f>LINK!BA42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LINK!EY13</f>
        <v/>
      </c>
      <c r="L15" s="131">
        <f>LINK!CH42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LINK!DR25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LINK!CH14</f>
        <v/>
      </c>
      <c r="F16" s="138">
        <f>LINK!T43</f>
        <v/>
      </c>
      <c r="G16" s="142">
        <f>LINK!BA43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LINK!EY14</f>
        <v/>
      </c>
      <c r="L16" s="131">
        <f>LINK!CH43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LINK!DR27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LINK!CH15</f>
        <v/>
      </c>
      <c r="F17" s="149">
        <f>LINK!T44</f>
        <v/>
      </c>
      <c r="G17" s="144">
        <f>LINK!BA44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LINK!EY15</f>
        <v/>
      </c>
      <c r="L17" s="147">
        <f>LINK!CH44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LINK!CH20</f>
        <v/>
      </c>
      <c r="F21" s="67">
        <f>LINK!T49</f>
        <v/>
      </c>
      <c r="G21" s="92">
        <f>LINK!BA49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LINK!EY20</f>
        <v/>
      </c>
      <c r="L21" s="74">
        <f>LINK!CH49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LINK!CH21</f>
        <v/>
      </c>
      <c r="F22" s="73">
        <f>LINK!T50</f>
        <v/>
      </c>
      <c r="G22" s="142">
        <f>LINK!BA50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LINK!EY21</f>
        <v/>
      </c>
      <c r="L22" s="131">
        <f>LINK!CH50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LINK!CH22</f>
        <v/>
      </c>
      <c r="F23" s="73">
        <f>LINK!T51</f>
        <v/>
      </c>
      <c r="G23" s="142">
        <f>LINK!BA51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LINK!EY22</f>
        <v/>
      </c>
      <c r="L23" s="131">
        <f>LINK!CH51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LINK!CH23</f>
        <v/>
      </c>
      <c r="F24" s="73">
        <f>LINK!T52</f>
        <v/>
      </c>
      <c r="G24" s="142">
        <f>LINK!BA52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LINK!EY23</f>
        <v/>
      </c>
      <c r="L24" s="131">
        <f>LINK!CH52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LINK!CH24</f>
        <v/>
      </c>
      <c r="F25" s="73">
        <f>LINK!T53</f>
        <v/>
      </c>
      <c r="G25" s="142">
        <f>LINK!BA53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LINK!EY24</f>
        <v/>
      </c>
      <c r="L25" s="131">
        <f>LINK!CH53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LINK!CH25</f>
        <v/>
      </c>
      <c r="F26" s="73">
        <f>LINK!T54</f>
        <v/>
      </c>
      <c r="G26" s="142">
        <f>LINK!BA54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LINK!EY25</f>
        <v/>
      </c>
      <c r="L26" s="131">
        <f>LINK!CH54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LINK!CH26</f>
        <v/>
      </c>
      <c r="F27" s="151">
        <f>LINK!T55</f>
        <v/>
      </c>
      <c r="G27" s="144">
        <f>LINK!BA55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LINK!EY26</f>
        <v/>
      </c>
      <c r="L27" s="147">
        <f>LINK!CH55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46804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LINK!CI3</f>
        <v/>
      </c>
      <c r="F5" s="136">
        <f>LINK!U32</f>
        <v/>
      </c>
      <c r="G5" s="92">
        <f>LINK!BB32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LINK!EZ3</f>
        <v/>
      </c>
      <c r="L5" s="68">
        <f>LINK!CI32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LINK!CI4</f>
        <v/>
      </c>
      <c r="F6" s="138">
        <f>LINK!U33</f>
        <v/>
      </c>
      <c r="G6" s="142">
        <f>LINK!BB33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LINK!EZ4</f>
        <v/>
      </c>
      <c r="L6" s="131">
        <f>LINK!CI33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LINK!CI5</f>
        <v/>
      </c>
      <c r="F7" s="138">
        <f>LINK!U34</f>
        <v/>
      </c>
      <c r="G7" s="142">
        <f>LINK!BB34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LINK!EZ5</f>
        <v/>
      </c>
      <c r="L7" s="131">
        <f>LINK!CI34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LINK!CI6</f>
        <v/>
      </c>
      <c r="F8" s="138">
        <f>LINK!U35</f>
        <v/>
      </c>
      <c r="G8" s="142">
        <f>LINK!BB35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LINK!EZ6</f>
        <v/>
      </c>
      <c r="L8" s="131">
        <f>LINK!CI35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LINK!BB70</f>
        <v/>
      </c>
      <c r="Q8" s="618">
        <f>LINK!CI27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LINK!CI7</f>
        <v/>
      </c>
      <c r="F9" s="138">
        <f>LINK!U36</f>
        <v/>
      </c>
      <c r="G9" s="142">
        <f>LINK!BB36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LINK!EZ7</f>
        <v/>
      </c>
      <c r="L9" s="131">
        <f>LINK!CI36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LINK!CI8</f>
        <v/>
      </c>
      <c r="F10" s="138">
        <f>LINK!U37</f>
        <v/>
      </c>
      <c r="G10" s="142">
        <f>LINK!BB37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LINK!EZ8</f>
        <v/>
      </c>
      <c r="L10" s="131">
        <f>LINK!CI37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LINK!DS20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LINK!CI9</f>
        <v/>
      </c>
      <c r="F11" s="138">
        <f>LINK!U38</f>
        <v/>
      </c>
      <c r="G11" s="142">
        <f>LINK!BB38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LINK!EZ9</f>
        <v/>
      </c>
      <c r="L11" s="131">
        <f>LINK!CI38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LINK!DS21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LINK!CI10</f>
        <v/>
      </c>
      <c r="F12" s="138">
        <f>LINK!U39</f>
        <v/>
      </c>
      <c r="G12" s="142">
        <f>LINK!BB39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LINK!EZ10</f>
        <v/>
      </c>
      <c r="L12" s="131">
        <f>LINK!CI39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LINK!DS22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LINK!CI11</f>
        <v/>
      </c>
      <c r="F13" s="138">
        <f>LINK!U40</f>
        <v/>
      </c>
      <c r="G13" s="142">
        <f>LINK!BB40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LINK!EZ11</f>
        <v/>
      </c>
      <c r="L13" s="131">
        <f>LINK!CI40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LINK!DS23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LINK!CI12</f>
        <v/>
      </c>
      <c r="F14" s="138">
        <f>LINK!U41</f>
        <v/>
      </c>
      <c r="G14" s="142">
        <f>LINK!BB41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LINK!EZ12</f>
        <v/>
      </c>
      <c r="L14" s="131">
        <f>LINK!CI41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LINK!DS24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LINK!CI13</f>
        <v/>
      </c>
      <c r="F15" s="138">
        <f>LINK!U42</f>
        <v/>
      </c>
      <c r="G15" s="142">
        <f>LINK!BB42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LINK!EZ13</f>
        <v/>
      </c>
      <c r="L15" s="131">
        <f>LINK!CI42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LINK!DS25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LINK!CI14</f>
        <v/>
      </c>
      <c r="F16" s="138">
        <f>LINK!U43</f>
        <v/>
      </c>
      <c r="G16" s="142">
        <f>LINK!BB43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LINK!EZ14</f>
        <v/>
      </c>
      <c r="L16" s="131">
        <f>LINK!CI43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LINK!DS27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LINK!CI15</f>
        <v/>
      </c>
      <c r="F17" s="149">
        <f>LINK!U44</f>
        <v/>
      </c>
      <c r="G17" s="144">
        <f>LINK!BB44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LINK!EZ15</f>
        <v/>
      </c>
      <c r="L17" s="147">
        <f>LINK!CI44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LINK!CI20</f>
        <v/>
      </c>
      <c r="F21" s="67">
        <f>LINK!U49</f>
        <v/>
      </c>
      <c r="G21" s="92">
        <f>LINK!BB49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LINK!EZ20</f>
        <v/>
      </c>
      <c r="L21" s="74">
        <f>LINK!CI49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LINK!CI21</f>
        <v/>
      </c>
      <c r="F22" s="73">
        <f>LINK!U50</f>
        <v/>
      </c>
      <c r="G22" s="142">
        <f>LINK!BB50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LINK!EZ21</f>
        <v/>
      </c>
      <c r="L22" s="131">
        <f>LINK!CI50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LINK!CI22</f>
        <v/>
      </c>
      <c r="F23" s="73">
        <f>LINK!U51</f>
        <v/>
      </c>
      <c r="G23" s="142">
        <f>LINK!BB51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LINK!EZ22</f>
        <v/>
      </c>
      <c r="L23" s="131">
        <f>LINK!CI51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LINK!CI23</f>
        <v/>
      </c>
      <c r="F24" s="73">
        <f>LINK!U52</f>
        <v/>
      </c>
      <c r="G24" s="142">
        <f>LINK!BB52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LINK!EZ23</f>
        <v/>
      </c>
      <c r="L24" s="131">
        <f>LINK!CI52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LINK!CI24</f>
        <v/>
      </c>
      <c r="F25" s="73">
        <f>LINK!U53</f>
        <v/>
      </c>
      <c r="G25" s="142">
        <f>LINK!BB53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LINK!EZ24</f>
        <v/>
      </c>
      <c r="L25" s="131">
        <f>LINK!CI53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LINK!CI25</f>
        <v/>
      </c>
      <c r="F26" s="73">
        <f>LINK!U54</f>
        <v/>
      </c>
      <c r="G26" s="142">
        <f>LINK!BB54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LINK!EZ25</f>
        <v/>
      </c>
      <c r="L26" s="131">
        <f>LINK!CI54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LINK!CI26</f>
        <v/>
      </c>
      <c r="F27" s="151">
        <f>LINK!U55</f>
        <v/>
      </c>
      <c r="G27" s="144">
        <f>LINK!BB55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LINK!EZ26</f>
        <v/>
      </c>
      <c r="L27" s="147">
        <f>LINK!CI55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46805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LINK!CJ3</f>
        <v/>
      </c>
      <c r="F5" s="136">
        <f>LINK!V32</f>
        <v/>
      </c>
      <c r="G5" s="92">
        <f>LINK!BC32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LINK!FA3</f>
        <v/>
      </c>
      <c r="L5" s="68">
        <f>LINK!CJ32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LINK!CJ4</f>
        <v/>
      </c>
      <c r="F6" s="138">
        <f>LINK!V33</f>
        <v/>
      </c>
      <c r="G6" s="142">
        <f>LINK!BC33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LINK!FA4</f>
        <v/>
      </c>
      <c r="L6" s="131">
        <f>LINK!CJ33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LINK!CJ5</f>
        <v/>
      </c>
      <c r="F7" s="138">
        <f>LINK!V34</f>
        <v/>
      </c>
      <c r="G7" s="142">
        <f>LINK!BC34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LINK!FA5</f>
        <v/>
      </c>
      <c r="L7" s="131">
        <f>LINK!CJ34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LINK!CJ6</f>
        <v/>
      </c>
      <c r="F8" s="138">
        <f>LINK!V35</f>
        <v/>
      </c>
      <c r="G8" s="142">
        <f>LINK!BC35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LINK!FA6</f>
        <v/>
      </c>
      <c r="L8" s="131">
        <f>LINK!CJ35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LINK!BC70</f>
        <v/>
      </c>
      <c r="Q8" s="618">
        <f>LINK!CJ27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LINK!CJ7</f>
        <v/>
      </c>
      <c r="F9" s="138">
        <f>LINK!V36</f>
        <v/>
      </c>
      <c r="G9" s="142">
        <f>LINK!BC36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LINK!FA7</f>
        <v/>
      </c>
      <c r="L9" s="131">
        <f>LINK!CJ36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LINK!CJ8</f>
        <v/>
      </c>
      <c r="F10" s="138">
        <f>LINK!V37</f>
        <v/>
      </c>
      <c r="G10" s="142">
        <f>LINK!BC37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LINK!FA8</f>
        <v/>
      </c>
      <c r="L10" s="131">
        <f>LINK!CJ37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LINK!DT20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LINK!CJ9</f>
        <v/>
      </c>
      <c r="F11" s="138">
        <f>LINK!V38</f>
        <v/>
      </c>
      <c r="G11" s="142">
        <f>LINK!BC38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LINK!FA9</f>
        <v/>
      </c>
      <c r="L11" s="131">
        <f>LINK!CJ38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LINK!DT21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LINK!CJ10</f>
        <v/>
      </c>
      <c r="F12" s="138">
        <f>LINK!V39</f>
        <v/>
      </c>
      <c r="G12" s="142">
        <f>LINK!BC39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LINK!FA10</f>
        <v/>
      </c>
      <c r="L12" s="131">
        <f>LINK!CJ39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LINK!DT22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LINK!CJ11</f>
        <v/>
      </c>
      <c r="F13" s="138">
        <f>LINK!V40</f>
        <v/>
      </c>
      <c r="G13" s="142">
        <f>LINK!BC40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LINK!FA11</f>
        <v/>
      </c>
      <c r="L13" s="131">
        <f>LINK!CJ40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LINK!DT23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LINK!CJ12</f>
        <v/>
      </c>
      <c r="F14" s="138">
        <f>LINK!V41</f>
        <v/>
      </c>
      <c r="G14" s="142">
        <f>LINK!BC41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LINK!FA12</f>
        <v/>
      </c>
      <c r="L14" s="131">
        <f>LINK!CJ41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LINK!DT24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LINK!CJ13</f>
        <v/>
      </c>
      <c r="F15" s="138">
        <f>LINK!V42</f>
        <v/>
      </c>
      <c r="G15" s="142">
        <f>LINK!BC42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LINK!FA13</f>
        <v/>
      </c>
      <c r="L15" s="131">
        <f>LINK!CJ42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LINK!DT25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LINK!CJ14</f>
        <v/>
      </c>
      <c r="F16" s="138">
        <f>LINK!V43</f>
        <v/>
      </c>
      <c r="G16" s="142">
        <f>LINK!BC43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LINK!FA14</f>
        <v/>
      </c>
      <c r="L16" s="131">
        <f>LINK!CJ43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LINK!DT27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LINK!CJ15</f>
        <v/>
      </c>
      <c r="F17" s="149">
        <f>LINK!V44</f>
        <v/>
      </c>
      <c r="G17" s="144">
        <f>LINK!BC44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LINK!FA15</f>
        <v/>
      </c>
      <c r="L17" s="147">
        <f>LINK!CJ44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LINK!CJ20</f>
        <v/>
      </c>
      <c r="F21" s="67">
        <f>LINK!V49</f>
        <v/>
      </c>
      <c r="G21" s="92">
        <f>LINK!BC49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LINK!FA20</f>
        <v/>
      </c>
      <c r="L21" s="74">
        <f>LINK!CJ49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LINK!CJ21</f>
        <v/>
      </c>
      <c r="F22" s="73">
        <f>LINK!V50</f>
        <v/>
      </c>
      <c r="G22" s="142">
        <f>LINK!BC50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LINK!FA21</f>
        <v/>
      </c>
      <c r="L22" s="131">
        <f>LINK!CJ50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LINK!CJ22</f>
        <v/>
      </c>
      <c r="F23" s="73">
        <f>LINK!V51</f>
        <v/>
      </c>
      <c r="G23" s="142">
        <f>LINK!BC51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LINK!FA22</f>
        <v/>
      </c>
      <c r="L23" s="131">
        <f>LINK!CJ51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LINK!CJ23</f>
        <v/>
      </c>
      <c r="F24" s="73">
        <f>LINK!V52</f>
        <v/>
      </c>
      <c r="G24" s="142">
        <f>LINK!BC52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LINK!FA23</f>
        <v/>
      </c>
      <c r="L24" s="131">
        <f>LINK!CJ52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LINK!CJ24</f>
        <v/>
      </c>
      <c r="F25" s="73">
        <f>LINK!V53</f>
        <v/>
      </c>
      <c r="G25" s="142">
        <f>LINK!BC53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LINK!FA24</f>
        <v/>
      </c>
      <c r="L25" s="131">
        <f>LINK!CJ53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LINK!CJ25</f>
        <v/>
      </c>
      <c r="F26" s="73">
        <f>LINK!V54</f>
        <v/>
      </c>
      <c r="G26" s="142">
        <f>LINK!BC54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LINK!FA25</f>
        <v/>
      </c>
      <c r="L26" s="131">
        <f>LINK!CJ54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LINK!CJ26</f>
        <v/>
      </c>
      <c r="F27" s="151">
        <f>LINK!V55</f>
        <v/>
      </c>
      <c r="G27" s="144">
        <f>LINK!BC55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LINK!FA26</f>
        <v/>
      </c>
      <c r="L27" s="147">
        <f>LINK!CJ55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46806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LINK!CK3</f>
        <v/>
      </c>
      <c r="F5" s="136">
        <f>LINK!W32</f>
        <v/>
      </c>
      <c r="G5" s="92">
        <f>LINK!BD32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LINK!FB3</f>
        <v/>
      </c>
      <c r="L5" s="68">
        <f>LINK!CK32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LINK!CK4</f>
        <v/>
      </c>
      <c r="F6" s="138">
        <f>LINK!W33</f>
        <v/>
      </c>
      <c r="G6" s="142">
        <f>LINK!BD33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LINK!FB4</f>
        <v/>
      </c>
      <c r="L6" s="131">
        <f>LINK!CK33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LINK!CK5</f>
        <v/>
      </c>
      <c r="F7" s="138">
        <f>LINK!W34</f>
        <v/>
      </c>
      <c r="G7" s="142">
        <f>LINK!BD34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LINK!FB5</f>
        <v/>
      </c>
      <c r="L7" s="131">
        <f>LINK!CK34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LINK!CK6</f>
        <v/>
      </c>
      <c r="F8" s="138">
        <f>LINK!W35</f>
        <v/>
      </c>
      <c r="G8" s="142">
        <f>LINK!BD35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LINK!FB6</f>
        <v/>
      </c>
      <c r="L8" s="131">
        <f>LINK!CK35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LINK!BD70</f>
        <v/>
      </c>
      <c r="Q8" s="618">
        <f>LINK!CK27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LINK!CK7</f>
        <v/>
      </c>
      <c r="F9" s="138">
        <f>LINK!W36</f>
        <v/>
      </c>
      <c r="G9" s="142">
        <f>LINK!BD36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LINK!FB7</f>
        <v/>
      </c>
      <c r="L9" s="131">
        <f>LINK!CK36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LINK!CK8</f>
        <v/>
      </c>
      <c r="F10" s="138">
        <f>LINK!W37</f>
        <v/>
      </c>
      <c r="G10" s="142">
        <f>LINK!BD37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LINK!FB8</f>
        <v/>
      </c>
      <c r="L10" s="131">
        <f>LINK!CK37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LINK!DU20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LINK!CK9</f>
        <v/>
      </c>
      <c r="F11" s="138">
        <f>LINK!W38</f>
        <v/>
      </c>
      <c r="G11" s="142">
        <f>LINK!BD38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LINK!FB9</f>
        <v/>
      </c>
      <c r="L11" s="131">
        <f>LINK!CK38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LINK!DU21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LINK!CK10</f>
        <v/>
      </c>
      <c r="F12" s="138">
        <f>LINK!W39</f>
        <v/>
      </c>
      <c r="G12" s="142">
        <f>LINK!BD39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LINK!FB10</f>
        <v/>
      </c>
      <c r="L12" s="131">
        <f>LINK!CK39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LINK!DU22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LINK!CK11</f>
        <v/>
      </c>
      <c r="F13" s="138">
        <f>LINK!W40</f>
        <v/>
      </c>
      <c r="G13" s="142">
        <f>LINK!BD40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LINK!FB11</f>
        <v/>
      </c>
      <c r="L13" s="131">
        <f>LINK!CK40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LINK!DU23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LINK!CK12</f>
        <v/>
      </c>
      <c r="F14" s="138">
        <f>LINK!W41</f>
        <v/>
      </c>
      <c r="G14" s="142">
        <f>LINK!BD41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LINK!FB12</f>
        <v/>
      </c>
      <c r="L14" s="131">
        <f>LINK!CK41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LINK!DU24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LINK!CK13</f>
        <v/>
      </c>
      <c r="F15" s="138">
        <f>LINK!W42</f>
        <v/>
      </c>
      <c r="G15" s="142">
        <f>LINK!BD42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LINK!FB13</f>
        <v/>
      </c>
      <c r="L15" s="131">
        <f>LINK!CK42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LINK!DU25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LINK!CK14</f>
        <v/>
      </c>
      <c r="F16" s="138">
        <f>LINK!W43</f>
        <v/>
      </c>
      <c r="G16" s="142">
        <f>LINK!BD43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LINK!FB14</f>
        <v/>
      </c>
      <c r="L16" s="131">
        <f>LINK!CK43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LINK!DU27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LINK!CK15</f>
        <v/>
      </c>
      <c r="F17" s="149">
        <f>LINK!W44</f>
        <v/>
      </c>
      <c r="G17" s="144">
        <f>LINK!BD44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LINK!FB15</f>
        <v/>
      </c>
      <c r="L17" s="147">
        <f>LINK!CK44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LINK!CK20</f>
        <v/>
      </c>
      <c r="F21" s="67">
        <f>LINK!W49</f>
        <v/>
      </c>
      <c r="G21" s="92">
        <f>LINK!BD49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LINK!FB20</f>
        <v/>
      </c>
      <c r="L21" s="74">
        <f>LINK!CK49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LINK!CK21</f>
        <v/>
      </c>
      <c r="F22" s="73">
        <f>LINK!W50</f>
        <v/>
      </c>
      <c r="G22" s="142">
        <f>LINK!BD50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LINK!FB21</f>
        <v/>
      </c>
      <c r="L22" s="131">
        <f>LINK!CK50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LINK!CK22</f>
        <v/>
      </c>
      <c r="F23" s="73">
        <f>LINK!W51</f>
        <v/>
      </c>
      <c r="G23" s="142">
        <f>LINK!BD51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LINK!FB22</f>
        <v/>
      </c>
      <c r="L23" s="131">
        <f>LINK!CK51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LINK!CK23</f>
        <v/>
      </c>
      <c r="F24" s="73">
        <f>LINK!W52</f>
        <v/>
      </c>
      <c r="G24" s="142">
        <f>LINK!BD52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LINK!FB23</f>
        <v/>
      </c>
      <c r="L24" s="131">
        <f>LINK!CK52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LINK!CK24</f>
        <v/>
      </c>
      <c r="F25" s="73">
        <f>LINK!W53</f>
        <v/>
      </c>
      <c r="G25" s="142">
        <f>LINK!BD53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LINK!FB24</f>
        <v/>
      </c>
      <c r="L25" s="131">
        <f>LINK!CK53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LINK!CK25</f>
        <v/>
      </c>
      <c r="F26" s="73">
        <f>LINK!W54</f>
        <v/>
      </c>
      <c r="G26" s="142">
        <f>LINK!BD54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LINK!FB25</f>
        <v/>
      </c>
      <c r="L26" s="131">
        <f>LINK!CK54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LINK!CK26</f>
        <v/>
      </c>
      <c r="F27" s="151">
        <f>LINK!W55</f>
        <v/>
      </c>
      <c r="G27" s="144">
        <f>LINK!BD55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LINK!FB26</f>
        <v/>
      </c>
      <c r="L27" s="147">
        <f>LINK!CK55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46807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LINK!CL3</f>
        <v/>
      </c>
      <c r="F5" s="136">
        <f>LINK!X32</f>
        <v/>
      </c>
      <c r="G5" s="92">
        <f>LINK!BE32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LINK!FC3</f>
        <v/>
      </c>
      <c r="L5" s="68">
        <f>LINK!CL32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LINK!CL4</f>
        <v/>
      </c>
      <c r="F6" s="138">
        <f>LINK!X33</f>
        <v/>
      </c>
      <c r="G6" s="142">
        <f>LINK!BE33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LINK!FC4</f>
        <v/>
      </c>
      <c r="L6" s="131">
        <f>LINK!CL33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LINK!CL5</f>
        <v/>
      </c>
      <c r="F7" s="138">
        <f>LINK!X34</f>
        <v/>
      </c>
      <c r="G7" s="142">
        <f>LINK!BE34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LINK!FC5</f>
        <v/>
      </c>
      <c r="L7" s="131">
        <f>LINK!CL34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LINK!CL6</f>
        <v/>
      </c>
      <c r="F8" s="138">
        <f>LINK!X35</f>
        <v/>
      </c>
      <c r="G8" s="142">
        <f>LINK!BE35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LINK!FC6</f>
        <v/>
      </c>
      <c r="L8" s="131">
        <f>LINK!CL35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LINK!BE70</f>
        <v/>
      </c>
      <c r="Q8" s="618">
        <f>LINK!CL27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LINK!CL7</f>
        <v/>
      </c>
      <c r="F9" s="138">
        <f>LINK!X36</f>
        <v/>
      </c>
      <c r="G9" s="142">
        <f>LINK!BE36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LINK!FC7</f>
        <v/>
      </c>
      <c r="L9" s="131">
        <f>LINK!CL36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LINK!CL8</f>
        <v/>
      </c>
      <c r="F10" s="138">
        <f>LINK!X37</f>
        <v/>
      </c>
      <c r="G10" s="142">
        <f>LINK!BE37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LINK!FC8</f>
        <v/>
      </c>
      <c r="L10" s="131">
        <f>LINK!CL37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LINK!DV20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LINK!CL9</f>
        <v/>
      </c>
      <c r="F11" s="138">
        <f>LINK!X38</f>
        <v/>
      </c>
      <c r="G11" s="142">
        <f>LINK!BE38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LINK!FC9</f>
        <v/>
      </c>
      <c r="L11" s="131">
        <f>LINK!CL38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LINK!DV21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LINK!CL10</f>
        <v/>
      </c>
      <c r="F12" s="138">
        <f>LINK!X39</f>
        <v/>
      </c>
      <c r="G12" s="142">
        <f>LINK!BE39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LINK!FC10</f>
        <v/>
      </c>
      <c r="L12" s="131">
        <f>LINK!CL39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LINK!DV22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LINK!CL11</f>
        <v/>
      </c>
      <c r="F13" s="138">
        <f>LINK!X40</f>
        <v/>
      </c>
      <c r="G13" s="142">
        <f>LINK!BE40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LINK!FC11</f>
        <v/>
      </c>
      <c r="L13" s="131">
        <f>LINK!CL40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LINK!DV23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LINK!CL12</f>
        <v/>
      </c>
      <c r="F14" s="138">
        <f>LINK!X41</f>
        <v/>
      </c>
      <c r="G14" s="142">
        <f>LINK!BE41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LINK!FC12</f>
        <v/>
      </c>
      <c r="L14" s="131">
        <f>LINK!CL41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LINK!DV24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LINK!CL13</f>
        <v/>
      </c>
      <c r="F15" s="138">
        <f>LINK!X42</f>
        <v/>
      </c>
      <c r="G15" s="142">
        <f>LINK!BE42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LINK!FC13</f>
        <v/>
      </c>
      <c r="L15" s="131">
        <f>LINK!CL42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LINK!DV25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LINK!CL14</f>
        <v/>
      </c>
      <c r="F16" s="138">
        <f>LINK!X43</f>
        <v/>
      </c>
      <c r="G16" s="142">
        <f>LINK!BE43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LINK!FC14</f>
        <v/>
      </c>
      <c r="L16" s="131">
        <f>LINK!CL43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LINK!DV27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LINK!CL15</f>
        <v/>
      </c>
      <c r="F17" s="149">
        <f>LINK!X44</f>
        <v/>
      </c>
      <c r="G17" s="144">
        <f>LINK!BE44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LINK!FC15</f>
        <v/>
      </c>
      <c r="L17" s="147">
        <f>LINK!CL44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LINK!CL20</f>
        <v/>
      </c>
      <c r="F21" s="67">
        <f>LINK!X49</f>
        <v/>
      </c>
      <c r="G21" s="92">
        <f>LINK!BE49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LINK!FC20</f>
        <v/>
      </c>
      <c r="L21" s="74">
        <f>LINK!CL49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LINK!CL21</f>
        <v/>
      </c>
      <c r="F22" s="73">
        <f>LINK!X50</f>
        <v/>
      </c>
      <c r="G22" s="142">
        <f>LINK!BE50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LINK!FC21</f>
        <v/>
      </c>
      <c r="L22" s="131">
        <f>LINK!CL50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LINK!CL22</f>
        <v/>
      </c>
      <c r="F23" s="73">
        <f>LINK!X51</f>
        <v/>
      </c>
      <c r="G23" s="142">
        <f>LINK!BE51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LINK!FC22</f>
        <v/>
      </c>
      <c r="L23" s="131">
        <f>LINK!CL51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LINK!CL23</f>
        <v/>
      </c>
      <c r="F24" s="73">
        <f>LINK!X52</f>
        <v/>
      </c>
      <c r="G24" s="142">
        <f>LINK!BE52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LINK!FC23</f>
        <v/>
      </c>
      <c r="L24" s="131">
        <f>LINK!CL52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LINK!CL24</f>
        <v/>
      </c>
      <c r="F25" s="73">
        <f>LINK!X53</f>
        <v/>
      </c>
      <c r="G25" s="142">
        <f>LINK!BE53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LINK!FC24</f>
        <v/>
      </c>
      <c r="L25" s="131">
        <f>LINK!CL53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LINK!CL25</f>
        <v/>
      </c>
      <c r="F26" s="73">
        <f>LINK!X54</f>
        <v/>
      </c>
      <c r="G26" s="142">
        <f>LINK!BE54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LINK!FC25</f>
        <v/>
      </c>
      <c r="L26" s="131">
        <f>LINK!CL54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LINK!CL26</f>
        <v/>
      </c>
      <c r="F27" s="151">
        <f>LINK!X55</f>
        <v/>
      </c>
      <c r="G27" s="144">
        <f>LINK!BE55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LINK!FC26</f>
        <v/>
      </c>
      <c r="L27" s="147">
        <f>LINK!CL55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46808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LINK!CM3</f>
        <v/>
      </c>
      <c r="F5" s="136">
        <f>LINK!Y32</f>
        <v/>
      </c>
      <c r="G5" s="92">
        <f>LINK!BF32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LINK!FD3</f>
        <v/>
      </c>
      <c r="L5" s="68">
        <f>LINK!CM32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LINK!CM4</f>
        <v/>
      </c>
      <c r="F6" s="138">
        <f>LINK!Y33</f>
        <v/>
      </c>
      <c r="G6" s="142">
        <f>LINK!BF33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LINK!FD4</f>
        <v/>
      </c>
      <c r="L6" s="131">
        <f>LINK!CM33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LINK!CM5</f>
        <v/>
      </c>
      <c r="F7" s="138">
        <f>LINK!Y34</f>
        <v/>
      </c>
      <c r="G7" s="142">
        <f>LINK!BF34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LINK!FD5</f>
        <v/>
      </c>
      <c r="L7" s="131">
        <f>LINK!CM34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LINK!CM6</f>
        <v/>
      </c>
      <c r="F8" s="138">
        <f>LINK!Y35</f>
        <v/>
      </c>
      <c r="G8" s="142">
        <f>LINK!BF35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LINK!FD6</f>
        <v/>
      </c>
      <c r="L8" s="131">
        <f>LINK!CM35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LINK!BF70</f>
        <v/>
      </c>
      <c r="Q8" s="618">
        <f>LINK!CM27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LINK!CM7</f>
        <v/>
      </c>
      <c r="F9" s="138">
        <f>LINK!Y36</f>
        <v/>
      </c>
      <c r="G9" s="142">
        <f>LINK!BF36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LINK!FD7</f>
        <v/>
      </c>
      <c r="L9" s="131">
        <f>LINK!CM36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LINK!CM8</f>
        <v/>
      </c>
      <c r="F10" s="138">
        <f>LINK!Y37</f>
        <v/>
      </c>
      <c r="G10" s="142">
        <f>LINK!BF37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LINK!FD8</f>
        <v/>
      </c>
      <c r="L10" s="131">
        <f>LINK!CM37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LINK!DW20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LINK!CM9</f>
        <v/>
      </c>
      <c r="F11" s="138">
        <f>LINK!Y38</f>
        <v/>
      </c>
      <c r="G11" s="142">
        <f>LINK!BF38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LINK!FD9</f>
        <v/>
      </c>
      <c r="L11" s="131">
        <f>LINK!CM38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LINK!DW21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LINK!CM10</f>
        <v/>
      </c>
      <c r="F12" s="138">
        <f>LINK!Y39</f>
        <v/>
      </c>
      <c r="G12" s="142">
        <f>LINK!BF39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LINK!FD10</f>
        <v/>
      </c>
      <c r="L12" s="131">
        <f>LINK!CM39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LINK!DW22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LINK!CM11</f>
        <v/>
      </c>
      <c r="F13" s="138">
        <f>LINK!Y40</f>
        <v/>
      </c>
      <c r="G13" s="142">
        <f>LINK!BF40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LINK!FD11</f>
        <v/>
      </c>
      <c r="L13" s="131">
        <f>LINK!CM40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LINK!DW23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LINK!CM12</f>
        <v/>
      </c>
      <c r="F14" s="138">
        <f>LINK!Y41</f>
        <v/>
      </c>
      <c r="G14" s="142">
        <f>LINK!BF41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LINK!FD12</f>
        <v/>
      </c>
      <c r="L14" s="131">
        <f>LINK!CM41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LINK!DW24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LINK!CM13</f>
        <v/>
      </c>
      <c r="F15" s="138">
        <f>LINK!Y42</f>
        <v/>
      </c>
      <c r="G15" s="142">
        <f>LINK!BF42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LINK!FD13</f>
        <v/>
      </c>
      <c r="L15" s="131">
        <f>LINK!CM42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LINK!DW25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LINK!CM14</f>
        <v/>
      </c>
      <c r="F16" s="138">
        <f>LINK!Y43</f>
        <v/>
      </c>
      <c r="G16" s="142">
        <f>LINK!BF43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LINK!FD14</f>
        <v/>
      </c>
      <c r="L16" s="131">
        <f>LINK!CM43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LINK!DW27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LINK!CM15</f>
        <v/>
      </c>
      <c r="F17" s="149">
        <f>LINK!Y44</f>
        <v/>
      </c>
      <c r="G17" s="144">
        <f>LINK!BF44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LINK!FD15</f>
        <v/>
      </c>
      <c r="L17" s="147">
        <f>LINK!CM44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LINK!CM20</f>
        <v/>
      </c>
      <c r="F21" s="67">
        <f>LINK!Y49</f>
        <v/>
      </c>
      <c r="G21" s="92">
        <f>LINK!BF49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LINK!FD20</f>
        <v/>
      </c>
      <c r="L21" s="74">
        <f>LINK!CM49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LINK!CM21</f>
        <v/>
      </c>
      <c r="F22" s="73">
        <f>LINK!Y50</f>
        <v/>
      </c>
      <c r="G22" s="142">
        <f>LINK!BF50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LINK!FD21</f>
        <v/>
      </c>
      <c r="L22" s="131">
        <f>LINK!CM50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LINK!CM22</f>
        <v/>
      </c>
      <c r="F23" s="73">
        <f>LINK!Y51</f>
        <v/>
      </c>
      <c r="G23" s="142">
        <f>LINK!BF51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LINK!FD22</f>
        <v/>
      </c>
      <c r="L23" s="131">
        <f>LINK!CM51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LINK!CM23</f>
        <v/>
      </c>
      <c r="F24" s="73">
        <f>LINK!Y52</f>
        <v/>
      </c>
      <c r="G24" s="142">
        <f>LINK!BF52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LINK!FD23</f>
        <v/>
      </c>
      <c r="L24" s="131">
        <f>LINK!CM52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LINK!CM24</f>
        <v/>
      </c>
      <c r="F25" s="73">
        <f>LINK!Y53</f>
        <v/>
      </c>
      <c r="G25" s="142">
        <f>LINK!BF53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LINK!FD24</f>
        <v/>
      </c>
      <c r="L25" s="131">
        <f>LINK!CM53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LINK!CM25</f>
        <v/>
      </c>
      <c r="F26" s="73">
        <f>LINK!Y54</f>
        <v/>
      </c>
      <c r="G26" s="142">
        <f>LINK!BF54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LINK!FD25</f>
        <v/>
      </c>
      <c r="L26" s="131">
        <f>LINK!CM54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LINK!CM26</f>
        <v/>
      </c>
      <c r="F27" s="151">
        <f>LINK!Y55</f>
        <v/>
      </c>
      <c r="G27" s="144">
        <f>LINK!BF55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LINK!FD26</f>
        <v/>
      </c>
      <c r="L27" s="147">
        <f>LINK!CM55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46809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LINK!CN3</f>
        <v/>
      </c>
      <c r="F5" s="136">
        <f>LINK!Z32</f>
        <v/>
      </c>
      <c r="G5" s="92">
        <f>LINK!BG32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LINK!FE3</f>
        <v/>
      </c>
      <c r="L5" s="68">
        <f>LINK!CN32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LINK!CN4</f>
        <v/>
      </c>
      <c r="F6" s="138">
        <f>LINK!Z33</f>
        <v/>
      </c>
      <c r="G6" s="142">
        <f>LINK!BG33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LINK!FE4</f>
        <v/>
      </c>
      <c r="L6" s="131">
        <f>LINK!CN33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LINK!CN5</f>
        <v/>
      </c>
      <c r="F7" s="138">
        <f>LINK!Z34</f>
        <v/>
      </c>
      <c r="G7" s="142">
        <f>LINK!BG34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LINK!FE5</f>
        <v/>
      </c>
      <c r="L7" s="131">
        <f>LINK!CN34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LINK!CN6</f>
        <v/>
      </c>
      <c r="F8" s="138">
        <f>LINK!Z35</f>
        <v/>
      </c>
      <c r="G8" s="142">
        <f>LINK!BG35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LINK!FE6</f>
        <v/>
      </c>
      <c r="L8" s="131">
        <f>LINK!CN35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LINK!BG70</f>
        <v/>
      </c>
      <c r="Q8" s="618">
        <f>LINK!CN27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LINK!CN7</f>
        <v/>
      </c>
      <c r="F9" s="138">
        <f>LINK!Z36</f>
        <v/>
      </c>
      <c r="G9" s="142">
        <f>LINK!BG36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LINK!FE7</f>
        <v/>
      </c>
      <c r="L9" s="131">
        <f>LINK!CN36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LINK!CN8</f>
        <v/>
      </c>
      <c r="F10" s="138">
        <f>LINK!Z37</f>
        <v/>
      </c>
      <c r="G10" s="142">
        <f>LINK!BG37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LINK!FE8</f>
        <v/>
      </c>
      <c r="L10" s="131">
        <f>LINK!CN37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LINK!DX20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LINK!CN9</f>
        <v/>
      </c>
      <c r="F11" s="138">
        <f>LINK!Z38</f>
        <v/>
      </c>
      <c r="G11" s="142">
        <f>LINK!BG38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LINK!FE9</f>
        <v/>
      </c>
      <c r="L11" s="131">
        <f>LINK!CN38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LINK!DX21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LINK!CN10</f>
        <v/>
      </c>
      <c r="F12" s="138">
        <f>LINK!Z39</f>
        <v/>
      </c>
      <c r="G12" s="142">
        <f>LINK!BG39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LINK!FE10</f>
        <v/>
      </c>
      <c r="L12" s="131">
        <f>LINK!CN39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LINK!DX22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LINK!CN11</f>
        <v/>
      </c>
      <c r="F13" s="138">
        <f>LINK!Z40</f>
        <v/>
      </c>
      <c r="G13" s="142">
        <f>LINK!BG40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LINK!FE11</f>
        <v/>
      </c>
      <c r="L13" s="131">
        <f>LINK!CN40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LINK!DX23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LINK!CN12</f>
        <v/>
      </c>
      <c r="F14" s="138">
        <f>LINK!Z41</f>
        <v/>
      </c>
      <c r="G14" s="142">
        <f>LINK!BG41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LINK!FE12</f>
        <v/>
      </c>
      <c r="L14" s="131">
        <f>LINK!CN41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LINK!DX24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LINK!CN13</f>
        <v/>
      </c>
      <c r="F15" s="138">
        <f>LINK!Z42</f>
        <v/>
      </c>
      <c r="G15" s="142">
        <f>LINK!BG42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LINK!FE13</f>
        <v/>
      </c>
      <c r="L15" s="131">
        <f>LINK!CN42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LINK!DX25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LINK!CN14</f>
        <v/>
      </c>
      <c r="F16" s="138">
        <f>LINK!Z43</f>
        <v/>
      </c>
      <c r="G16" s="142">
        <f>LINK!BG43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LINK!FE14</f>
        <v/>
      </c>
      <c r="L16" s="131">
        <f>LINK!CN43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LINK!DX27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LINK!CN15</f>
        <v/>
      </c>
      <c r="F17" s="149">
        <f>LINK!Z44</f>
        <v/>
      </c>
      <c r="G17" s="144">
        <f>LINK!BG44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LINK!FE15</f>
        <v/>
      </c>
      <c r="L17" s="147">
        <f>LINK!CN44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LINK!CN20</f>
        <v/>
      </c>
      <c r="F21" s="67">
        <f>LINK!Z49</f>
        <v/>
      </c>
      <c r="G21" s="92">
        <f>LINK!BG49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LINK!FE20</f>
        <v/>
      </c>
      <c r="L21" s="74">
        <f>LINK!CN49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LINK!CN21</f>
        <v/>
      </c>
      <c r="F22" s="73">
        <f>LINK!Z50</f>
        <v/>
      </c>
      <c r="G22" s="142">
        <f>LINK!BG50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LINK!FE21</f>
        <v/>
      </c>
      <c r="L22" s="131">
        <f>LINK!CN50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LINK!CN22</f>
        <v/>
      </c>
      <c r="F23" s="73">
        <f>LINK!Z51</f>
        <v/>
      </c>
      <c r="G23" s="142">
        <f>LINK!BG51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LINK!FE22</f>
        <v/>
      </c>
      <c r="L23" s="131">
        <f>LINK!CN51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LINK!CN23</f>
        <v/>
      </c>
      <c r="F24" s="73">
        <f>LINK!Z52</f>
        <v/>
      </c>
      <c r="G24" s="142">
        <f>LINK!BG52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LINK!FE23</f>
        <v/>
      </c>
      <c r="L24" s="131">
        <f>LINK!CN52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LINK!CN24</f>
        <v/>
      </c>
      <c r="F25" s="73">
        <f>LINK!Z53</f>
        <v/>
      </c>
      <c r="G25" s="142">
        <f>LINK!BG53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LINK!FE24</f>
        <v/>
      </c>
      <c r="L25" s="131">
        <f>LINK!CN53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LINK!CN25</f>
        <v/>
      </c>
      <c r="F26" s="73">
        <f>LINK!Z54</f>
        <v/>
      </c>
      <c r="G26" s="142">
        <f>LINK!BG54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LINK!FE25</f>
        <v/>
      </c>
      <c r="L26" s="131">
        <f>LINK!CN54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LINK!CN26</f>
        <v/>
      </c>
      <c r="F27" s="151">
        <f>LINK!Z55</f>
        <v/>
      </c>
      <c r="G27" s="144">
        <f>LINK!BG55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LINK!FE26</f>
        <v/>
      </c>
      <c r="L27" s="147">
        <f>LINK!CN55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46810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LINK!CO3</f>
        <v/>
      </c>
      <c r="F5" s="136">
        <f>LINK!AA32</f>
        <v/>
      </c>
      <c r="G5" s="92">
        <f>LINK!BH32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LINK!FF3</f>
        <v/>
      </c>
      <c r="L5" s="68">
        <f>LINK!CO32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LINK!CO4</f>
        <v/>
      </c>
      <c r="F6" s="138">
        <f>LINK!AA33</f>
        <v/>
      </c>
      <c r="G6" s="142">
        <f>LINK!BH33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LINK!FF4</f>
        <v/>
      </c>
      <c r="L6" s="131">
        <f>LINK!CO33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LINK!CO5</f>
        <v/>
      </c>
      <c r="F7" s="138">
        <f>LINK!AA34</f>
        <v/>
      </c>
      <c r="G7" s="142">
        <f>LINK!BH34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LINK!FF5</f>
        <v/>
      </c>
      <c r="L7" s="131">
        <f>LINK!CO34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LINK!CO6</f>
        <v/>
      </c>
      <c r="F8" s="138">
        <f>LINK!AA35</f>
        <v/>
      </c>
      <c r="G8" s="142">
        <f>LINK!BH35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LINK!FF6</f>
        <v/>
      </c>
      <c r="L8" s="131">
        <f>LINK!CO35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LINK!BH70</f>
        <v/>
      </c>
      <c r="Q8" s="618">
        <f>LINK!CO27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LINK!CO7</f>
        <v/>
      </c>
      <c r="F9" s="138">
        <f>LINK!AA36</f>
        <v/>
      </c>
      <c r="G9" s="142">
        <f>LINK!BH36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LINK!FF7</f>
        <v/>
      </c>
      <c r="L9" s="131">
        <f>LINK!CO36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LINK!CO8</f>
        <v/>
      </c>
      <c r="F10" s="138">
        <f>LINK!AA37</f>
        <v/>
      </c>
      <c r="G10" s="142">
        <f>LINK!BH37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LINK!FF8</f>
        <v/>
      </c>
      <c r="L10" s="131">
        <f>LINK!CO37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LINK!DY20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LINK!CO9</f>
        <v/>
      </c>
      <c r="F11" s="138">
        <f>LINK!AA38</f>
        <v/>
      </c>
      <c r="G11" s="142">
        <f>LINK!BH38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LINK!FF9</f>
        <v/>
      </c>
      <c r="L11" s="131">
        <f>LINK!CO38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LINK!DY21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LINK!CO10</f>
        <v/>
      </c>
      <c r="F12" s="138">
        <f>LINK!AA39</f>
        <v/>
      </c>
      <c r="G12" s="142">
        <f>LINK!BH39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LINK!FF10</f>
        <v/>
      </c>
      <c r="L12" s="131">
        <f>LINK!CO39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LINK!DY22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LINK!CO11</f>
        <v/>
      </c>
      <c r="F13" s="138">
        <f>LINK!AA40</f>
        <v/>
      </c>
      <c r="G13" s="142">
        <f>LINK!BH40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LINK!FF11</f>
        <v/>
      </c>
      <c r="L13" s="131">
        <f>LINK!CO40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LINK!DY23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LINK!CO12</f>
        <v/>
      </c>
      <c r="F14" s="138">
        <f>LINK!AA41</f>
        <v/>
      </c>
      <c r="G14" s="142">
        <f>LINK!BH41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LINK!FF12</f>
        <v/>
      </c>
      <c r="L14" s="131">
        <f>LINK!CO41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LINK!DY24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LINK!CO13</f>
        <v/>
      </c>
      <c r="F15" s="138">
        <f>LINK!AA42</f>
        <v/>
      </c>
      <c r="G15" s="142">
        <f>LINK!BH42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LINK!FF13</f>
        <v/>
      </c>
      <c r="L15" s="131">
        <f>LINK!CO42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LINK!DY25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LINK!CO14</f>
        <v/>
      </c>
      <c r="F16" s="138">
        <f>LINK!AA43</f>
        <v/>
      </c>
      <c r="G16" s="142">
        <f>LINK!BH43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LINK!FF14</f>
        <v/>
      </c>
      <c r="L16" s="131">
        <f>LINK!CO43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LINK!DY27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LINK!CO15</f>
        <v/>
      </c>
      <c r="F17" s="149">
        <f>LINK!AA44</f>
        <v/>
      </c>
      <c r="G17" s="144">
        <f>LINK!BH44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LINK!FF15</f>
        <v/>
      </c>
      <c r="L17" s="147">
        <f>LINK!CO44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LINK!CO20</f>
        <v/>
      </c>
      <c r="F21" s="67">
        <f>LINK!AA49</f>
        <v/>
      </c>
      <c r="G21" s="92">
        <f>LINK!BH49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LINK!FF20</f>
        <v/>
      </c>
      <c r="L21" s="74">
        <f>LINK!CO49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LINK!CO21</f>
        <v/>
      </c>
      <c r="F22" s="73">
        <f>LINK!AA50</f>
        <v/>
      </c>
      <c r="G22" s="142">
        <f>LINK!BH50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LINK!FF21</f>
        <v/>
      </c>
      <c r="L22" s="131">
        <f>LINK!CO50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LINK!CO22</f>
        <v/>
      </c>
      <c r="F23" s="73">
        <f>LINK!AA51</f>
        <v/>
      </c>
      <c r="G23" s="142">
        <f>LINK!BH51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LINK!FF22</f>
        <v/>
      </c>
      <c r="L23" s="131">
        <f>LINK!CO51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LINK!CO23</f>
        <v/>
      </c>
      <c r="F24" s="73">
        <f>LINK!AA52</f>
        <v/>
      </c>
      <c r="G24" s="142">
        <f>LINK!BH52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LINK!FF23</f>
        <v/>
      </c>
      <c r="L24" s="131">
        <f>LINK!CO52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LINK!CO24</f>
        <v/>
      </c>
      <c r="F25" s="73">
        <f>LINK!AA53</f>
        <v/>
      </c>
      <c r="G25" s="142">
        <f>LINK!BH53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LINK!FF24</f>
        <v/>
      </c>
      <c r="L25" s="131">
        <f>LINK!CO53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LINK!CO25</f>
        <v/>
      </c>
      <c r="F26" s="73">
        <f>LINK!AA54</f>
        <v/>
      </c>
      <c r="G26" s="142">
        <f>LINK!BH54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LINK!FF25</f>
        <v/>
      </c>
      <c r="L26" s="131">
        <f>LINK!CO54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LINK!CO26</f>
        <v/>
      </c>
      <c r="F27" s="151">
        <f>LINK!AA55</f>
        <v/>
      </c>
      <c r="G27" s="144">
        <f>LINK!BH55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LINK!FF26</f>
        <v/>
      </c>
      <c r="L27" s="147">
        <f>LINK!CO55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46811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LINK!CP3</f>
        <v/>
      </c>
      <c r="F5" s="136">
        <f>LINK!AB32</f>
        <v/>
      </c>
      <c r="G5" s="92">
        <f>LINK!BI32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LINK!FG3</f>
        <v/>
      </c>
      <c r="L5" s="68">
        <f>LINK!CP32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LINK!CP4</f>
        <v/>
      </c>
      <c r="F6" s="138">
        <f>LINK!AB33</f>
        <v/>
      </c>
      <c r="G6" s="142">
        <f>LINK!BI33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LINK!FG4</f>
        <v/>
      </c>
      <c r="L6" s="131">
        <f>LINK!CP33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LINK!CP5</f>
        <v/>
      </c>
      <c r="F7" s="138">
        <f>LINK!AB34</f>
        <v/>
      </c>
      <c r="G7" s="142">
        <f>LINK!BI34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LINK!FG5</f>
        <v/>
      </c>
      <c r="L7" s="131">
        <f>LINK!CP34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LINK!CP6</f>
        <v/>
      </c>
      <c r="F8" s="138">
        <f>LINK!AB35</f>
        <v/>
      </c>
      <c r="G8" s="142">
        <f>LINK!BI35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LINK!FG6</f>
        <v/>
      </c>
      <c r="L8" s="131">
        <f>LINK!CP35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LINK!BI70</f>
        <v/>
      </c>
      <c r="Q8" s="618">
        <f>LINK!CP27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LINK!CP7</f>
        <v/>
      </c>
      <c r="F9" s="138">
        <f>LINK!AB36</f>
        <v/>
      </c>
      <c r="G9" s="142">
        <f>LINK!BI36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LINK!FG7</f>
        <v/>
      </c>
      <c r="L9" s="131">
        <f>LINK!CP36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LINK!CP8</f>
        <v/>
      </c>
      <c r="F10" s="138">
        <f>LINK!AB37</f>
        <v/>
      </c>
      <c r="G10" s="142">
        <f>LINK!BI37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LINK!FG8</f>
        <v/>
      </c>
      <c r="L10" s="131">
        <f>LINK!CP37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LINK!DZ20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LINK!CP9</f>
        <v/>
      </c>
      <c r="F11" s="138">
        <f>LINK!AB38</f>
        <v/>
      </c>
      <c r="G11" s="142">
        <f>LINK!BI38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LINK!FG9</f>
        <v/>
      </c>
      <c r="L11" s="131">
        <f>LINK!CP38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LINK!DZ21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LINK!CP10</f>
        <v/>
      </c>
      <c r="F12" s="138">
        <f>LINK!AB39</f>
        <v/>
      </c>
      <c r="G12" s="142">
        <f>LINK!BI39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LINK!FG10</f>
        <v/>
      </c>
      <c r="L12" s="131">
        <f>LINK!CP39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LINK!DZ22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LINK!CP11</f>
        <v/>
      </c>
      <c r="F13" s="138">
        <f>LINK!AB40</f>
        <v/>
      </c>
      <c r="G13" s="142">
        <f>LINK!BI40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LINK!FG11</f>
        <v/>
      </c>
      <c r="L13" s="131">
        <f>LINK!CP40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LINK!DZ23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LINK!CP12</f>
        <v/>
      </c>
      <c r="F14" s="138">
        <f>LINK!AB41</f>
        <v/>
      </c>
      <c r="G14" s="142">
        <f>LINK!BI41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LINK!FG12</f>
        <v/>
      </c>
      <c r="L14" s="131">
        <f>LINK!CP41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LINK!DZ24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LINK!CP13</f>
        <v/>
      </c>
      <c r="F15" s="138">
        <f>LINK!AB42</f>
        <v/>
      </c>
      <c r="G15" s="142">
        <f>LINK!BI42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LINK!FG13</f>
        <v/>
      </c>
      <c r="L15" s="131">
        <f>LINK!CP42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LINK!DZ25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LINK!CP14</f>
        <v/>
      </c>
      <c r="F16" s="138">
        <f>LINK!AB43</f>
        <v/>
      </c>
      <c r="G16" s="142">
        <f>LINK!BI43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LINK!FG14</f>
        <v/>
      </c>
      <c r="L16" s="131">
        <f>LINK!CP43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LINK!DZ27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LINK!CP15</f>
        <v/>
      </c>
      <c r="F17" s="149">
        <f>LINK!AB44</f>
        <v/>
      </c>
      <c r="G17" s="144">
        <f>LINK!BI44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LINK!FG15</f>
        <v/>
      </c>
      <c r="L17" s="147">
        <f>LINK!CP44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LINK!CP20</f>
        <v/>
      </c>
      <c r="F21" s="67">
        <f>LINK!AB49</f>
        <v/>
      </c>
      <c r="G21" s="92">
        <f>LINK!BI49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LINK!FG20</f>
        <v/>
      </c>
      <c r="L21" s="74">
        <f>LINK!CP49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LINK!CP21</f>
        <v/>
      </c>
      <c r="F22" s="73">
        <f>LINK!AB50</f>
        <v/>
      </c>
      <c r="G22" s="142">
        <f>LINK!BI50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LINK!FG21</f>
        <v/>
      </c>
      <c r="L22" s="131">
        <f>LINK!CP50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LINK!CP22</f>
        <v/>
      </c>
      <c r="F23" s="73">
        <f>LINK!AB51</f>
        <v/>
      </c>
      <c r="G23" s="142">
        <f>LINK!BI51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LINK!FG22</f>
        <v/>
      </c>
      <c r="L23" s="131">
        <f>LINK!CP51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LINK!CP23</f>
        <v/>
      </c>
      <c r="F24" s="73">
        <f>LINK!AB52</f>
        <v/>
      </c>
      <c r="G24" s="142">
        <f>LINK!BI52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LINK!FG23</f>
        <v/>
      </c>
      <c r="L24" s="131">
        <f>LINK!CP52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LINK!CP24</f>
        <v/>
      </c>
      <c r="F25" s="73">
        <f>LINK!AB53</f>
        <v/>
      </c>
      <c r="G25" s="142">
        <f>LINK!BI53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LINK!FG24</f>
        <v/>
      </c>
      <c r="L25" s="131">
        <f>LINK!CP53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LINK!CP25</f>
        <v/>
      </c>
      <c r="F26" s="73">
        <f>LINK!AB54</f>
        <v/>
      </c>
      <c r="G26" s="142">
        <f>LINK!BI54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LINK!FG25</f>
        <v/>
      </c>
      <c r="L26" s="131">
        <f>LINK!CP54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LINK!CP26</f>
        <v/>
      </c>
      <c r="F27" s="151">
        <f>LINK!AB55</f>
        <v/>
      </c>
      <c r="G27" s="144">
        <f>LINK!BI55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LINK!FG26</f>
        <v/>
      </c>
      <c r="L27" s="147">
        <f>LINK!CP55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46812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LINK!CQ3</f>
        <v/>
      </c>
      <c r="F5" s="136">
        <f>LINK!AC32</f>
        <v/>
      </c>
      <c r="G5" s="92">
        <f>LINK!BJ32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LINK!FH3</f>
        <v/>
      </c>
      <c r="L5" s="68">
        <f>LINK!CQ32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LINK!CQ4</f>
        <v/>
      </c>
      <c r="F6" s="138">
        <f>LINK!AC33</f>
        <v/>
      </c>
      <c r="G6" s="142">
        <f>LINK!BJ33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LINK!FH4</f>
        <v/>
      </c>
      <c r="L6" s="131">
        <f>LINK!CQ33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LINK!CQ5</f>
        <v/>
      </c>
      <c r="F7" s="138">
        <f>LINK!AC34</f>
        <v/>
      </c>
      <c r="G7" s="142">
        <f>LINK!BJ34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LINK!FH5</f>
        <v/>
      </c>
      <c r="L7" s="131">
        <f>LINK!CQ34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LINK!CQ6</f>
        <v/>
      </c>
      <c r="F8" s="138">
        <f>LINK!AC35</f>
        <v/>
      </c>
      <c r="G8" s="142">
        <f>LINK!BJ35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LINK!FH6</f>
        <v/>
      </c>
      <c r="L8" s="131">
        <f>LINK!CQ35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LINK!BJ70</f>
        <v/>
      </c>
      <c r="Q8" s="618">
        <f>LINK!CQ27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LINK!CQ7</f>
        <v/>
      </c>
      <c r="F9" s="138">
        <f>LINK!AC36</f>
        <v/>
      </c>
      <c r="G9" s="142">
        <f>LINK!BJ36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LINK!FH7</f>
        <v/>
      </c>
      <c r="L9" s="131">
        <f>LINK!CQ36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LINK!CQ8</f>
        <v/>
      </c>
      <c r="F10" s="138">
        <f>LINK!AC37</f>
        <v/>
      </c>
      <c r="G10" s="142">
        <f>LINK!BJ37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LINK!FH8</f>
        <v/>
      </c>
      <c r="L10" s="131">
        <f>LINK!CQ37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LINK!EA20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LINK!CQ9</f>
        <v/>
      </c>
      <c r="F11" s="138">
        <f>LINK!AC38</f>
        <v/>
      </c>
      <c r="G11" s="142">
        <f>LINK!BJ38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LINK!FH9</f>
        <v/>
      </c>
      <c r="L11" s="131">
        <f>LINK!CQ38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LINK!EA21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LINK!CQ10</f>
        <v/>
      </c>
      <c r="F12" s="138">
        <f>LINK!AC39</f>
        <v/>
      </c>
      <c r="G12" s="142">
        <f>LINK!BJ39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LINK!FH10</f>
        <v/>
      </c>
      <c r="L12" s="131">
        <f>LINK!CQ39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LINK!EA22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LINK!CQ11</f>
        <v/>
      </c>
      <c r="F13" s="138">
        <f>LINK!AC40</f>
        <v/>
      </c>
      <c r="G13" s="142">
        <f>LINK!BJ40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LINK!FH11</f>
        <v/>
      </c>
      <c r="L13" s="131">
        <f>LINK!CQ40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LINK!EA23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LINK!CQ12</f>
        <v/>
      </c>
      <c r="F14" s="138">
        <f>LINK!AC41</f>
        <v/>
      </c>
      <c r="G14" s="142">
        <f>LINK!BJ41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LINK!FH12</f>
        <v/>
      </c>
      <c r="L14" s="131">
        <f>LINK!CQ41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LINK!EA24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LINK!CQ13</f>
        <v/>
      </c>
      <c r="F15" s="138">
        <f>LINK!AC42</f>
        <v/>
      </c>
      <c r="G15" s="142">
        <f>LINK!BJ42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LINK!FH13</f>
        <v/>
      </c>
      <c r="L15" s="131">
        <f>LINK!CQ42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LINK!EA25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LINK!CQ14</f>
        <v/>
      </c>
      <c r="F16" s="138">
        <f>LINK!AC43</f>
        <v/>
      </c>
      <c r="G16" s="142">
        <f>LINK!BJ43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LINK!FH14</f>
        <v/>
      </c>
      <c r="L16" s="131">
        <f>LINK!CQ43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LINK!EA27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LINK!CQ15</f>
        <v/>
      </c>
      <c r="F17" s="149">
        <f>LINK!AC44</f>
        <v/>
      </c>
      <c r="G17" s="144">
        <f>LINK!BJ44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LINK!FH15</f>
        <v/>
      </c>
      <c r="L17" s="147">
        <f>LINK!CQ44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LINK!CQ20</f>
        <v/>
      </c>
      <c r="F21" s="67">
        <f>LINK!AC49</f>
        <v/>
      </c>
      <c r="G21" s="92">
        <f>LINK!BJ49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LINK!FH20</f>
        <v/>
      </c>
      <c r="L21" s="74">
        <f>LINK!CQ49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LINK!CQ21</f>
        <v/>
      </c>
      <c r="F22" s="73">
        <f>LINK!AC50</f>
        <v/>
      </c>
      <c r="G22" s="142">
        <f>LINK!BJ50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LINK!FH21</f>
        <v/>
      </c>
      <c r="L22" s="131">
        <f>LINK!CQ50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LINK!CQ22</f>
        <v/>
      </c>
      <c r="F23" s="73">
        <f>LINK!AC51</f>
        <v/>
      </c>
      <c r="G23" s="142">
        <f>LINK!BJ51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LINK!FH22</f>
        <v/>
      </c>
      <c r="L23" s="131">
        <f>LINK!CQ51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LINK!CQ23</f>
        <v/>
      </c>
      <c r="F24" s="73">
        <f>LINK!AC52</f>
        <v/>
      </c>
      <c r="G24" s="142">
        <f>LINK!BJ52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LINK!FH23</f>
        <v/>
      </c>
      <c r="L24" s="131">
        <f>LINK!CQ52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LINK!CQ24</f>
        <v/>
      </c>
      <c r="F25" s="73">
        <f>LINK!AC53</f>
        <v/>
      </c>
      <c r="G25" s="142">
        <f>LINK!BJ53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LINK!FH24</f>
        <v/>
      </c>
      <c r="L25" s="131">
        <f>LINK!CQ53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LINK!CQ25</f>
        <v/>
      </c>
      <c r="F26" s="73">
        <f>LINK!AC54</f>
        <v/>
      </c>
      <c r="G26" s="142">
        <f>LINK!BJ54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LINK!FH25</f>
        <v/>
      </c>
      <c r="L26" s="131">
        <f>LINK!CQ54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LINK!CQ26</f>
        <v/>
      </c>
      <c r="F27" s="151">
        <f>LINK!AC55</f>
        <v/>
      </c>
      <c r="G27" s="144">
        <f>LINK!BJ55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LINK!FH26</f>
        <v/>
      </c>
      <c r="L27" s="147">
        <f>LINK!CQ55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46813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0</v>
      </c>
      <c r="C5" s="1722" t="n"/>
      <c r="D5" s="1723" t="n"/>
      <c r="E5" s="66">
        <f>LINK!CR3</f>
        <v/>
      </c>
      <c r="F5" s="136">
        <f>LINK!AD32</f>
        <v/>
      </c>
      <c r="G5" s="92">
        <f>LINK!BK32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LINK!FI3</f>
        <v/>
      </c>
      <c r="L5" s="68">
        <f>LINK!CR32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0</v>
      </c>
      <c r="C6" s="1724" t="n"/>
      <c r="D6" s="1725" t="n"/>
      <c r="E6" s="145">
        <f>LINK!CR4</f>
        <v/>
      </c>
      <c r="F6" s="138">
        <f>LINK!AD33</f>
        <v/>
      </c>
      <c r="G6" s="142">
        <f>LINK!BK33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LINK!FI4</f>
        <v/>
      </c>
      <c r="L6" s="131">
        <f>LINK!CR33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0</v>
      </c>
      <c r="C7" s="1724" t="n"/>
      <c r="D7" s="1725" t="n"/>
      <c r="E7" s="145">
        <f>LINK!CR5</f>
        <v/>
      </c>
      <c r="F7" s="138">
        <f>LINK!AD34</f>
        <v/>
      </c>
      <c r="G7" s="142">
        <f>LINK!BK34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LINK!FI5</f>
        <v/>
      </c>
      <c r="L7" s="131">
        <f>LINK!CR34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0</v>
      </c>
      <c r="C8" s="1724" t="n"/>
      <c r="D8" s="1725" t="n"/>
      <c r="E8" s="145">
        <f>LINK!CR6</f>
        <v/>
      </c>
      <c r="F8" s="138">
        <f>LINK!AD35</f>
        <v/>
      </c>
      <c r="G8" s="142">
        <f>LINK!BK35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LINK!FI6</f>
        <v/>
      </c>
      <c r="L8" s="131">
        <f>LINK!CR35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LINK!BK70</f>
        <v/>
      </c>
      <c r="Q8" s="618">
        <f>LINK!CR27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0</v>
      </c>
      <c r="C9" s="1724" t="n"/>
      <c r="D9" s="1725" t="n"/>
      <c r="E9" s="145">
        <f>LINK!CR7</f>
        <v/>
      </c>
      <c r="F9" s="138">
        <f>LINK!AD36</f>
        <v/>
      </c>
      <c r="G9" s="142">
        <f>LINK!BK36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LINK!FI7</f>
        <v/>
      </c>
      <c r="L9" s="131">
        <f>LINK!CR36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0</v>
      </c>
      <c r="C10" s="1724" t="n"/>
      <c r="D10" s="1725" t="n"/>
      <c r="E10" s="145">
        <f>LINK!CR8</f>
        <v/>
      </c>
      <c r="F10" s="138">
        <f>LINK!AD37</f>
        <v/>
      </c>
      <c r="G10" s="142">
        <f>LINK!BK37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LINK!FI8</f>
        <v/>
      </c>
      <c r="L10" s="131">
        <f>LINK!CR37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LINK!EB20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0</v>
      </c>
      <c r="C11" s="1724" t="n"/>
      <c r="D11" s="1725" t="n"/>
      <c r="E11" s="145">
        <f>LINK!CR9</f>
        <v/>
      </c>
      <c r="F11" s="138">
        <f>LINK!AD38</f>
        <v/>
      </c>
      <c r="G11" s="142">
        <f>LINK!BK38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LINK!FI9</f>
        <v/>
      </c>
      <c r="L11" s="131">
        <f>LINK!CR38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LINK!EB21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0</v>
      </c>
      <c r="C12" s="1724" t="n"/>
      <c r="D12" s="1725" t="n"/>
      <c r="E12" s="145">
        <f>LINK!CR10</f>
        <v/>
      </c>
      <c r="F12" s="138">
        <f>LINK!AD39</f>
        <v/>
      </c>
      <c r="G12" s="142">
        <f>LINK!BK39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LINK!FI10</f>
        <v/>
      </c>
      <c r="L12" s="131">
        <f>LINK!CR39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LINK!EB22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0</v>
      </c>
      <c r="C13" s="1724" t="n"/>
      <c r="D13" s="1725" t="n"/>
      <c r="E13" s="145">
        <f>LINK!CR11</f>
        <v/>
      </c>
      <c r="F13" s="138">
        <f>LINK!AD40</f>
        <v/>
      </c>
      <c r="G13" s="142">
        <f>LINK!BK40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LINK!FI11</f>
        <v/>
      </c>
      <c r="L13" s="131">
        <f>LINK!CR40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LINK!EB23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0</v>
      </c>
      <c r="C14" s="1724" t="n"/>
      <c r="D14" s="1725" t="n"/>
      <c r="E14" s="145">
        <f>LINK!CR12</f>
        <v/>
      </c>
      <c r="F14" s="138">
        <f>LINK!AD41</f>
        <v/>
      </c>
      <c r="G14" s="142">
        <f>LINK!BK41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LINK!FI12</f>
        <v/>
      </c>
      <c r="L14" s="131">
        <f>LINK!CR41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LINK!EB24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0</v>
      </c>
      <c r="C15" s="1724" t="n"/>
      <c r="D15" s="1725" t="n"/>
      <c r="E15" s="145">
        <f>LINK!CR13</f>
        <v/>
      </c>
      <c r="F15" s="138">
        <f>LINK!AD42</f>
        <v/>
      </c>
      <c r="G15" s="142">
        <f>LINK!BK42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LINK!FI13</f>
        <v/>
      </c>
      <c r="L15" s="131">
        <f>LINK!CR42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LINK!EB25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0</v>
      </c>
      <c r="C16" s="1724" t="n"/>
      <c r="D16" s="1725" t="n"/>
      <c r="E16" s="145">
        <f>LINK!CR14</f>
        <v/>
      </c>
      <c r="F16" s="138">
        <f>LINK!AD43</f>
        <v/>
      </c>
      <c r="G16" s="142">
        <f>LINK!BK43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LINK!FI14</f>
        <v/>
      </c>
      <c r="L16" s="131">
        <f>LINK!CR43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LINK!EB27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0</v>
      </c>
      <c r="C17" s="1737" t="n"/>
      <c r="D17" s="1738" t="n"/>
      <c r="E17" s="146">
        <f>LINK!CR15</f>
        <v/>
      </c>
      <c r="F17" s="149">
        <f>LINK!AD44</f>
        <v/>
      </c>
      <c r="G17" s="144">
        <f>LINK!BK44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LINK!FI15</f>
        <v/>
      </c>
      <c r="L17" s="147">
        <f>LINK!CR44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0</v>
      </c>
      <c r="C21" s="2031" t="n"/>
      <c r="D21" s="2032" t="n"/>
      <c r="E21" s="72">
        <f>LINK!CR20</f>
        <v/>
      </c>
      <c r="F21" s="67">
        <f>LINK!AD49</f>
        <v/>
      </c>
      <c r="G21" s="92">
        <f>LINK!BK49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LINK!FI20</f>
        <v/>
      </c>
      <c r="L21" s="74">
        <f>LINK!CR49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0</v>
      </c>
      <c r="C22" s="1724" t="n"/>
      <c r="D22" s="2017" t="n"/>
      <c r="E22" s="72">
        <f>LINK!CR21</f>
        <v/>
      </c>
      <c r="F22" s="73">
        <f>LINK!AD50</f>
        <v/>
      </c>
      <c r="G22" s="142">
        <f>LINK!BK50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LINK!FI21</f>
        <v/>
      </c>
      <c r="L22" s="131">
        <f>LINK!CR50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0</v>
      </c>
      <c r="C23" s="1724" t="n"/>
      <c r="D23" s="2017" t="n"/>
      <c r="E23" s="72">
        <f>LINK!CR22</f>
        <v/>
      </c>
      <c r="F23" s="73">
        <f>LINK!AD51</f>
        <v/>
      </c>
      <c r="G23" s="142">
        <f>LINK!BK51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LINK!FI22</f>
        <v/>
      </c>
      <c r="L23" s="131">
        <f>LINK!CR51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0</v>
      </c>
      <c r="C24" s="1724" t="n"/>
      <c r="D24" s="2017" t="n"/>
      <c r="E24" s="72">
        <f>LINK!CR23</f>
        <v/>
      </c>
      <c r="F24" s="73">
        <f>LINK!AD52</f>
        <v/>
      </c>
      <c r="G24" s="142">
        <f>LINK!BK52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LINK!FI23</f>
        <v/>
      </c>
      <c r="L24" s="131">
        <f>LINK!CR52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0</v>
      </c>
      <c r="C25" s="1724" t="n"/>
      <c r="D25" s="2017" t="n"/>
      <c r="E25" s="72">
        <f>LINK!CR24</f>
        <v/>
      </c>
      <c r="F25" s="73">
        <f>LINK!AD53</f>
        <v/>
      </c>
      <c r="G25" s="142">
        <f>LINK!BK53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LINK!FI24</f>
        <v/>
      </c>
      <c r="L25" s="131">
        <f>LINK!CR53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0</v>
      </c>
      <c r="C26" s="1724" t="n"/>
      <c r="D26" s="2017" t="n"/>
      <c r="E26" s="72">
        <f>LINK!CR25</f>
        <v/>
      </c>
      <c r="F26" s="73">
        <f>LINK!AD54</f>
        <v/>
      </c>
      <c r="G26" s="142">
        <f>LINK!BK54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LINK!FI25</f>
        <v/>
      </c>
      <c r="L26" s="131">
        <f>LINK!CR54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0</v>
      </c>
      <c r="C27" s="1737" t="n"/>
      <c r="D27" s="2024" t="n"/>
      <c r="E27" s="72">
        <f>LINK!CR26</f>
        <v/>
      </c>
      <c r="F27" s="151">
        <f>LINK!AD55</f>
        <v/>
      </c>
      <c r="G27" s="144">
        <f>LINK!BK55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LINK!FI26</f>
        <v/>
      </c>
      <c r="L27" s="147">
        <f>LINK!CR55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 xml:space="preserve"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2026-04-29T04:03:58Z</dcterms:created>
  <dcterms:modified xmlns:dcterms="http://purl.org/dc/terms/" xmlns:xsi="http://www.w3.org/2001/XMLSchema-instance" xsi:type="dcterms:W3CDTF">2026-09-11T06:21:40Z</dcterms:modified>
  <cp:lastModifiedBy>USER</cp:lastModifiedBy>
  <cp:lastPrinted>2026-09-01T00:50:56Z</cp:lastPrinted>
</cp:coreProperties>
</file>